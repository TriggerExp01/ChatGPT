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牌数据" sheetId="1" state="visible" r:id="rId1"/>
    <sheet xmlns:r="http://schemas.openxmlformats.org/officeDocument/2006/relationships" name="灵力价值换算" sheetId="2" state="visible" r:id="rId2"/>
    <sheet xmlns:r="http://schemas.openxmlformats.org/officeDocument/2006/relationships" name="敌人强度曲线" sheetId="3" state="visible" r:id="rId3"/>
    <sheet xmlns:r="http://schemas.openxmlformats.org/officeDocument/2006/relationships" name="平衡性指标追踪" sheetId="4" state="visible" r:id="rId4"/>
    <sheet xmlns:r="http://schemas.openxmlformats.org/officeDocument/2006/relationships" name="境界成长曲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i val="1"/>
      <color rgb="00FF6600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2" customWidth="1" min="9" max="9"/>
    <col width="10" customWidth="1" min="10" max="10"/>
    <col width="19" customWidth="1" min="11" max="11"/>
    <col width="14" customWidth="1" min="12" max="12"/>
  </cols>
  <sheetData>
    <row r="1">
      <c r="A1" s="1" t="inlineStr">
        <is>
          <t>卡牌ID</t>
        </is>
      </c>
      <c r="B1" s="1" t="inlineStr">
        <is>
          <t>卡牌名</t>
        </is>
      </c>
      <c r="C1" s="1" t="inlineStr">
        <is>
          <t>稀有度</t>
        </is>
      </c>
      <c r="D1" s="1" t="inlineStr">
        <is>
          <t>类型</t>
        </is>
      </c>
      <c r="E1" s="1" t="inlineStr">
        <is>
          <t>灵力消耗</t>
        </is>
      </c>
      <c r="F1" s="1" t="inlineStr">
        <is>
          <t>基础伤害</t>
        </is>
      </c>
      <c r="G1" s="1" t="inlineStr">
        <is>
          <t>基础护盾</t>
        </is>
      </c>
      <c r="H1" s="1" t="inlineStr">
        <is>
          <t>基础回复</t>
        </is>
      </c>
      <c r="I1" s="1" t="inlineStr">
        <is>
          <t>附加效果描述</t>
        </is>
      </c>
      <c r="J1" s="1" t="inlineStr">
        <is>
          <t>灵力价值合计</t>
        </is>
      </c>
      <c r="K1" s="1" t="inlineStr">
        <is>
          <t>设计依据</t>
        </is>
      </c>
      <c r="L1" s="1" t="inlineStr">
        <is>
          <t>状态</t>
        </is>
      </c>
    </row>
    <row r="2">
      <c r="A2" s="2" t="inlineStr">
        <is>
          <t>card_sword_qi_01</t>
        </is>
      </c>
      <c r="B2" s="2" t="inlineStr">
        <is>
          <t>剑气诀</t>
        </is>
      </c>
      <c r="C2" s="2" t="inlineStr">
        <is>
          <t>凡品</t>
        </is>
      </c>
      <c r="D2" s="2" t="inlineStr">
        <is>
          <t>攻击功法</t>
        </is>
      </c>
      <c r="E2" s="2" t="n">
        <v>1</v>
      </c>
      <c r="F2" s="2" t="n">
        <v>8</v>
      </c>
      <c r="G2" s="2" t="n">
        <v>0</v>
      </c>
      <c r="H2" s="2" t="n">
        <v>0</v>
      </c>
      <c r="I2" s="2" t="inlineStr">
        <is>
          <t>无</t>
        </is>
      </c>
      <c r="J2" s="2" t="n">
        <v>8</v>
      </c>
      <c r="K2" s="2" t="inlineStr">
        <is>
          <t>基准攻击牌——衡量其他牌的标尺</t>
        </is>
      </c>
      <c r="L2" s="3" t="inlineStr">
        <is>
          <t>PLACEHOLDER</t>
        </is>
      </c>
    </row>
    <row r="3">
      <c r="A3" s="2" t="inlineStr">
        <is>
          <t>card_break_armor_01</t>
        </is>
      </c>
      <c r="B3" s="2" t="inlineStr">
        <is>
          <t>破甲符</t>
        </is>
      </c>
      <c r="C3" s="2" t="inlineStr">
        <is>
          <t>凡品</t>
        </is>
      </c>
      <c r="D3" s="2" t="inlineStr">
        <is>
          <t>攻击功法</t>
        </is>
      </c>
      <c r="E3" s="2" t="n">
        <v>1</v>
      </c>
      <c r="F3" s="2" t="n">
        <v>3</v>
      </c>
      <c r="G3" s="2" t="n">
        <v>0</v>
      </c>
      <c r="H3" s="2" t="n">
        <v>0</v>
      </c>
      <c r="I3" s="2" t="inlineStr">
        <is>
          <t>施加1层破防(2回合)</t>
        </is>
      </c>
      <c r="J3" s="2" t="n">
        <v>7</v>
      </c>
      <c r="K3" s="2" t="inlineStr">
        <is>
          <t>引入"先破防后攻击"协同</t>
        </is>
      </c>
      <c r="L3" s="3" t="inlineStr">
        <is>
          <t>PLACEHOLDER</t>
        </is>
      </c>
    </row>
    <row r="4">
      <c r="A4" s="2" t="inlineStr">
        <is>
          <t>card_fire_palm_01</t>
        </is>
      </c>
      <c r="B4" s="2" t="inlineStr">
        <is>
          <t>焚天掌</t>
        </is>
      </c>
      <c r="C4" s="2" t="inlineStr">
        <is>
          <t>灵品</t>
        </is>
      </c>
      <c r="D4" s="2" t="inlineStr">
        <is>
          <t>攻击功法</t>
        </is>
      </c>
      <c r="E4" s="2" t="n">
        <v>2</v>
      </c>
      <c r="F4" s="2" t="n">
        <v>12</v>
      </c>
      <c r="G4" s="2" t="n">
        <v>0</v>
      </c>
      <c r="H4" s="2" t="n">
        <v>0</v>
      </c>
      <c r="I4" s="2" t="inlineStr">
        <is>
          <t>施加1层灼烧(3回合)</t>
        </is>
      </c>
      <c r="J4" s="2" t="n">
        <v>20</v>
      </c>
      <c r="K4" s="2" t="inlineStr">
        <is>
          <t>火系入门——直接+持续</t>
        </is>
      </c>
      <c r="L4" s="3" t="inlineStr">
        <is>
          <t>PLACEHOLDER</t>
        </is>
      </c>
    </row>
    <row r="5">
      <c r="A5" s="2" t="inlineStr">
        <is>
          <t>card_sword_storm_01</t>
        </is>
      </c>
      <c r="B5" s="2" t="inlineStr">
        <is>
          <t>万剑归宗</t>
        </is>
      </c>
      <c r="C5" s="2" t="inlineStr">
        <is>
          <t>仙品</t>
        </is>
      </c>
      <c r="D5" s="2" t="inlineStr">
        <is>
          <t>攻击功法</t>
        </is>
      </c>
      <c r="E5" s="2" t="n">
        <v>4</v>
      </c>
      <c r="F5" s="2" t="n">
        <v>18</v>
      </c>
      <c r="G5" s="2" t="n">
        <v>0</v>
      </c>
      <c r="H5" s="2" t="n">
        <v>0</v>
      </c>
      <c r="I5" s="2" t="inlineStr">
        <is>
          <t>6伤害×3次(随机分配目标)</t>
        </is>
      </c>
      <c r="J5" s="2" t="n">
        <v>28</v>
      </c>
      <c r="K5" s="2" t="inlineStr">
        <is>
          <t>高费高爆发——需要灵力规划</t>
        </is>
      </c>
      <c r="L5" s="3" t="inlineStr">
        <is>
          <t>PLACEHOLDER</t>
        </is>
      </c>
    </row>
    <row r="6">
      <c r="A6" s="2" t="inlineStr">
        <is>
          <t>card_thunder_01</t>
        </is>
      </c>
      <c r="B6" s="2" t="inlineStr">
        <is>
          <t>雷霆一击</t>
        </is>
      </c>
      <c r="C6" s="2" t="inlineStr">
        <is>
          <t>圣品</t>
        </is>
      </c>
      <c r="D6" s="2" t="inlineStr">
        <is>
          <t>攻击功法</t>
        </is>
      </c>
      <c r="E6" s="2" t="n">
        <v>3</v>
      </c>
      <c r="F6" s="2" t="n">
        <v>20</v>
      </c>
      <c r="G6" s="2" t="n">
        <v>0</v>
      </c>
      <c r="H6" s="2" t="n">
        <v>0</v>
      </c>
      <c r="I6" s="2" t="inlineStr">
        <is>
          <t>50%概率眩晕敌人1回合</t>
        </is>
      </c>
      <c r="J6" s="2" t="n">
        <v>32</v>
      </c>
      <c r="K6" s="2" t="inlineStr">
        <is>
          <t>高方差终结技</t>
        </is>
      </c>
      <c r="L6" s="3" t="inlineStr">
        <is>
          <t>PLACEHOLDER</t>
        </is>
      </c>
    </row>
    <row r="7">
      <c r="A7" s="2" t="inlineStr">
        <is>
          <t>card_protect_qi_01</t>
        </is>
      </c>
      <c r="B7" s="2" t="inlineStr">
        <is>
          <t>护体真气</t>
        </is>
      </c>
      <c r="C7" s="2" t="inlineStr">
        <is>
          <t>凡品</t>
        </is>
      </c>
      <c r="D7" s="2" t="inlineStr">
        <is>
          <t>防御功法</t>
        </is>
      </c>
      <c r="E7" s="2" t="n">
        <v>1</v>
      </c>
      <c r="F7" s="2" t="n">
        <v>0</v>
      </c>
      <c r="G7" s="2" t="n">
        <v>8</v>
      </c>
      <c r="H7" s="2" t="n">
        <v>0</v>
      </c>
      <c r="I7" s="2" t="inlineStr">
        <is>
          <t>无</t>
        </is>
      </c>
      <c r="J7" s="2" t="n">
        <v>8</v>
      </c>
      <c r="K7" s="2" t="inlineStr">
        <is>
          <t>基准防御牌</t>
        </is>
      </c>
      <c r="L7" s="3" t="inlineStr">
        <is>
          <t>PLACEHOLDER</t>
        </is>
      </c>
    </row>
    <row r="8">
      <c r="A8" s="2" t="inlineStr">
        <is>
          <t>card_golden_bell_01</t>
        </is>
      </c>
      <c r="B8" s="2" t="inlineStr">
        <is>
          <t>金钟罩</t>
        </is>
      </c>
      <c r="C8" s="2" t="inlineStr">
        <is>
          <t>灵品</t>
        </is>
      </c>
      <c r="D8" s="2" t="inlineStr">
        <is>
          <t>防御功法</t>
        </is>
      </c>
      <c r="E8" s="2" t="n">
        <v>2</v>
      </c>
      <c r="F8" s="2" t="n">
        <v>0</v>
      </c>
      <c r="G8" s="2" t="n">
        <v>12</v>
      </c>
      <c r="H8" s="2" t="n">
        <v>0</v>
      </c>
      <c r="I8" s="2" t="inlineStr">
        <is>
          <t>本回合防御+3</t>
        </is>
      </c>
      <c r="J8" s="2" t="n">
        <v>18</v>
      </c>
      <c r="K8" s="2" t="inlineStr">
        <is>
          <t>克制高伤害攻击</t>
        </is>
      </c>
      <c r="L8" s="3" t="inlineStr">
        <is>
          <t>PLACEHOLDER</t>
        </is>
      </c>
    </row>
    <row r="9">
      <c r="A9" s="2" t="inlineStr">
        <is>
          <t>card_recover_pill_01</t>
        </is>
      </c>
      <c r="B9" s="2" t="inlineStr">
        <is>
          <t>回春丹</t>
        </is>
      </c>
      <c r="C9" s="2" t="inlineStr">
        <is>
          <t>凡品</t>
        </is>
      </c>
      <c r="D9" s="2" t="inlineStr">
        <is>
          <t>丹药</t>
        </is>
      </c>
      <c r="E9" s="2" t="n">
        <v>1</v>
      </c>
      <c r="F9" s="2" t="n">
        <v>0</v>
      </c>
      <c r="G9" s="2" t="n">
        <v>0</v>
      </c>
      <c r="H9" s="2" t="n">
        <v>6</v>
      </c>
      <c r="I9" s="2" t="inlineStr">
        <is>
          <t>无</t>
        </is>
      </c>
      <c r="J9" s="2" t="n">
        <v>6</v>
      </c>
      <c r="K9" s="2" t="inlineStr">
        <is>
          <t>基准回复牌</t>
        </is>
      </c>
      <c r="L9" s="3" t="inlineStr">
        <is>
          <t>PLACEHOLDER</t>
        </is>
      </c>
    </row>
    <row r="10">
      <c r="A10" s="2" t="inlineStr">
        <is>
          <t>card_energy_pill_01</t>
        </is>
      </c>
      <c r="B10" s="2" t="inlineStr">
        <is>
          <t>增元丹</t>
        </is>
      </c>
      <c r="C10" s="2" t="inlineStr">
        <is>
          <t>灵品</t>
        </is>
      </c>
      <c r="D10" s="2" t="inlineStr">
        <is>
          <t>丹药</t>
        </is>
      </c>
      <c r="E10" s="2" t="n">
        <v>1</v>
      </c>
      <c r="F10" s="2" t="n">
        <v>0</v>
      </c>
      <c r="G10" s="2" t="n">
        <v>0</v>
      </c>
      <c r="H10" s="2" t="n">
        <v>0</v>
      </c>
      <c r="I10" s="2" t="inlineStr">
        <is>
          <t>本回合灵力+2</t>
        </is>
      </c>
      <c r="J10" s="2" t="n">
        <v>12</v>
      </c>
      <c r="K10" s="2" t="inlineStr">
        <is>
          <t>爆发回合引擎</t>
        </is>
      </c>
      <c r="L10" s="3" t="inlineStr">
        <is>
          <t>PLACEHOLDER</t>
        </is>
      </c>
    </row>
    <row r="11">
      <c r="A11" s="2" t="inlineStr">
        <is>
          <t>card_fly_sword_01</t>
        </is>
      </c>
      <c r="B11" s="2" t="inlineStr">
        <is>
          <t>青冥飞剑</t>
        </is>
      </c>
      <c r="C11" s="2" t="inlineStr">
        <is>
          <t>灵品</t>
        </is>
      </c>
      <c r="D11" s="2" t="inlineStr">
        <is>
          <t>法宝</t>
        </is>
      </c>
      <c r="E11" s="2" t="n">
        <v>2</v>
      </c>
      <c r="F11" s="2" t="n">
        <v>10</v>
      </c>
      <c r="G11" s="2" t="n">
        <v>0</v>
      </c>
      <c r="H11" s="2" t="n">
        <v>0</v>
      </c>
      <c r="I11" s="2" t="inlineStr">
        <is>
          <t>目标有破防时伤害翻倍</t>
        </is>
      </c>
      <c r="J11" s="2" t="n">
        <v>18</v>
      </c>
      <c r="K11" s="2" t="inlineStr">
        <is>
          <t>协同奖励——激励破防构筑</t>
        </is>
      </c>
      <c r="L11" s="3" t="inlineStr">
        <is>
          <t>PLACEHOLDER</t>
        </is>
      </c>
    </row>
    <row r="12">
      <c r="A12" s="2" t="inlineStr">
        <is>
          <t>card_five_ele_01</t>
        </is>
      </c>
      <c r="B12" s="2" t="inlineStr">
        <is>
          <t>五行法阵</t>
        </is>
      </c>
      <c r="C12" s="2" t="inlineStr">
        <is>
          <t>仙品</t>
        </is>
      </c>
      <c r="D12" s="2" t="inlineStr">
        <is>
          <t>法宝</t>
        </is>
      </c>
      <c r="E12" s="2" t="n">
        <v>3</v>
      </c>
      <c r="F12" s="2" t="n">
        <v>0</v>
      </c>
      <c r="G12" s="2" t="n">
        <v>0</v>
      </c>
      <c r="H12" s="2" t="n">
        <v>0</v>
      </c>
      <c r="I12" s="2" t="inlineStr">
        <is>
          <t>持续3回合每回合全体3伤害</t>
        </is>
      </c>
      <c r="J12" s="2" t="n">
        <v>21</v>
      </c>
      <c r="K12" s="2" t="inlineStr">
        <is>
          <t>长战斗价值——随时间累积</t>
        </is>
      </c>
      <c r="L12" s="3" t="inlineStr">
        <is>
          <t>PLACEHOLDER</t>
        </is>
      </c>
    </row>
    <row r="13">
      <c r="A13" s="2" t="inlineStr">
        <is>
          <t>card_light_body_01</t>
        </is>
      </c>
      <c r="B13" s="2" t="inlineStr">
        <is>
          <t>轻身术</t>
        </is>
      </c>
      <c r="C13" s="2" t="inlineStr">
        <is>
          <t>凡品</t>
        </is>
      </c>
      <c r="D13" s="2" t="inlineStr">
        <is>
          <t>身法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抽2张牌</t>
        </is>
      </c>
      <c r="J13" s="2" t="n">
        <v>8</v>
      </c>
      <c r="K13" s="2" t="inlineStr">
        <is>
          <t>牌库循环加速——0费但消耗手牌位</t>
        </is>
      </c>
      <c r="L13" s="3" t="inlineStr">
        <is>
          <t>PLACEHOLDER</t>
        </is>
      </c>
    </row>
    <row r="14">
      <c r="A14" s="2" t="inlineStr">
        <is>
          <t>card_phantom_step_01</t>
        </is>
      </c>
      <c r="B14" s="2" t="inlineStr">
        <is>
          <t>幻影步</t>
        </is>
      </c>
      <c r="C14" s="2" t="inlineStr">
        <is>
          <t>灵品</t>
        </is>
      </c>
      <c r="D14" s="2" t="inlineStr">
        <is>
          <t>身法</t>
        </is>
      </c>
      <c r="E14" s="2" t="n">
        <v>1</v>
      </c>
      <c r="F14" s="2" t="n">
        <v>0</v>
      </c>
      <c r="G14" s="2" t="n">
        <v>0</v>
      </c>
      <c r="H14" s="2" t="n">
        <v>0</v>
      </c>
      <c r="I14" s="2" t="inlineStr">
        <is>
          <t>本回合获得2次闪避</t>
        </is>
      </c>
      <c r="J14" s="2" t="n">
        <v>12</v>
      </c>
      <c r="K14" s="2" t="inlineStr">
        <is>
          <t>高风险回合的救命牌</t>
        </is>
      </c>
      <c r="L14" s="3" t="inlineStr">
        <is>
          <t>PLACEHOLDER</t>
        </is>
      </c>
    </row>
    <row r="15">
      <c r="A15" s="2" t="inlineStr">
        <is>
          <t>card_demon_body_01</t>
        </is>
      </c>
      <c r="B15" s="2" t="inlineStr">
        <is>
          <t>天魔解体</t>
        </is>
      </c>
      <c r="C15" s="2" t="inlineStr">
        <is>
          <t>圣品</t>
        </is>
      </c>
      <c r="D15" s="2" t="inlineStr">
        <is>
          <t>秘术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失去10HP，本回合灵力+3、力量翻倍</t>
        </is>
      </c>
      <c r="J15" s="2" t="n">
        <v>17</v>
      </c>
      <c r="K15" s="2" t="inlineStr">
        <is>
          <t>绝境翻盘——高风险高回报</t>
        </is>
      </c>
      <c r="L15" s="3" t="inlineStr">
        <is>
          <t>PLACEHOLDER</t>
        </is>
      </c>
    </row>
    <row r="16">
      <c r="A16" s="2" t="inlineStr">
        <is>
          <t>card_dao_heart_01</t>
        </is>
      </c>
      <c r="B16" s="2" t="inlineStr">
        <is>
          <t>道心种魔</t>
        </is>
      </c>
      <c r="C16" s="2" t="inlineStr">
        <is>
          <t>道品</t>
        </is>
      </c>
      <c r="D16" s="2" t="inlineStr">
        <is>
          <t>秘术</t>
        </is>
      </c>
      <c r="E16" s="2" t="n">
        <v>5</v>
      </c>
      <c r="F16" s="2" t="n">
        <v>0</v>
      </c>
      <c r="G16" s="2" t="n">
        <v>0</v>
      </c>
      <c r="H16" s="2" t="n">
        <v>0</v>
      </c>
      <c r="I16" s="2" t="inlineStr">
        <is>
          <t>全体5层中毒，消耗(本Run永久移除)</t>
        </is>
      </c>
      <c r="J16" s="2" t="n">
        <v>40</v>
      </c>
      <c r="K16" s="2" t="inlineStr">
        <is>
          <t>Run终结者——一次性使用</t>
        </is>
      </c>
      <c r="L16" s="3" t="inlineStr">
        <is>
          <t>PLACEHOLDER</t>
        </is>
      </c>
    </row>
    <row r="17">
      <c r="A17" s="2" t="inlineStr">
        <is>
          <t>card_sweep_01</t>
        </is>
      </c>
      <c r="B17" s="2" t="inlineStr">
        <is>
          <t>横扫</t>
        </is>
      </c>
      <c r="C17" s="2" t="inlineStr">
        <is>
          <t>凡品</t>
        </is>
      </c>
      <c r="D17" s="2" t="inlineStr">
        <is>
          <t>攻击功法</t>
        </is>
      </c>
      <c r="E17" s="2" t="n">
        <v>2</v>
      </c>
      <c r="F17" s="2" t="n">
        <v>0</v>
      </c>
      <c r="G17" s="2" t="n">
        <v>0</v>
      </c>
      <c r="H17" s="2" t="n">
        <v>0</v>
      </c>
      <c r="I17" s="2" t="inlineStr">
        <is>
          <t>全体敌人6伤害</t>
        </is>
      </c>
      <c r="J17" s="2" t="n">
        <v>18</v>
      </c>
      <c r="K17" s="2" t="inlineStr">
        <is>
          <t>基础AOE——对2敌人略亏对3敌人划算</t>
        </is>
      </c>
      <c r="L17" s="3" t="inlineStr">
        <is>
          <t>PLACEHOLDER</t>
        </is>
      </c>
    </row>
    <row r="18">
      <c r="A18" s="2" t="inlineStr">
        <is>
          <t>card_pierce_01</t>
        </is>
      </c>
      <c r="B18" s="2" t="inlineStr">
        <is>
          <t>刺击</t>
        </is>
      </c>
      <c r="C18" s="2" t="inlineStr">
        <is>
          <t>凡品</t>
        </is>
      </c>
      <c r="D18" s="2" t="inlineStr">
        <is>
          <t>攻击功法</t>
        </is>
      </c>
      <c r="E18" s="2" t="n">
        <v>1</v>
      </c>
      <c r="F18" s="2" t="n">
        <v>5</v>
      </c>
      <c r="G18" s="2" t="n">
        <v>0</v>
      </c>
      <c r="H18" s="2" t="n">
        <v>0</v>
      </c>
      <c r="I18" s="2" t="inlineStr">
        <is>
          <t>施加1层剑气印记</t>
        </is>
      </c>
      <c r="J18" s="2" t="n">
        <v>9</v>
      </c>
      <c r="K18" s="2" t="inlineStr">
        <is>
          <t>剑气印记入门</t>
        </is>
      </c>
      <c r="L18" s="3" t="inlineStr">
        <is>
          <t>PLACEHOLDER</t>
        </is>
      </c>
    </row>
    <row r="19">
      <c r="A19" s="2" t="inlineStr">
        <is>
          <t>card_iron_sword_01</t>
        </is>
      </c>
      <c r="B19" s="2" t="inlineStr">
        <is>
          <t>铁剑术</t>
        </is>
      </c>
      <c r="C19" s="2" t="inlineStr">
        <is>
          <t>凡品</t>
        </is>
      </c>
      <c r="D19" s="2" t="inlineStr">
        <is>
          <t>攻击功法</t>
        </is>
      </c>
      <c r="E19" s="2" t="n">
        <v>2</v>
      </c>
      <c r="F19" s="2" t="n">
        <v>12</v>
      </c>
      <c r="G19" s="2" t="n">
        <v>0</v>
      </c>
      <c r="H19" s="2" t="n">
        <v>0</v>
      </c>
      <c r="I19" s="2" t="inlineStr">
        <is>
          <t>连击+3伤害</t>
        </is>
      </c>
      <c r="J19" s="2" t="n">
        <v>15</v>
      </c>
      <c r="K19" s="2" t="inlineStr">
        <is>
          <t>连击机制入门</t>
        </is>
      </c>
      <c r="L19" s="3" t="inlineStr">
        <is>
          <t>PLACEHOLDER</t>
        </is>
      </c>
    </row>
    <row r="20">
      <c r="A20" s="2" t="inlineStr">
        <is>
          <t>card_seven_sword_01</t>
        </is>
      </c>
      <c r="B20" s="2" t="inlineStr">
        <is>
          <t>七绝剑气</t>
        </is>
      </c>
      <c r="C20" s="2" t="inlineStr">
        <is>
          <t>灵品</t>
        </is>
      </c>
      <c r="D20" s="2" t="inlineStr">
        <is>
          <t>攻击功法</t>
        </is>
      </c>
      <c r="E20" s="2" t="n">
        <v>2</v>
      </c>
      <c r="F20" s="2" t="n">
        <v>7</v>
      </c>
      <c r="G20" s="2" t="n">
        <v>0</v>
      </c>
      <c r="H20" s="2" t="n">
        <v>0</v>
      </c>
      <c r="I20" s="2" t="inlineStr">
        <is>
          <t>每层印记+3伤害</t>
        </is>
      </c>
      <c r="J20" s="2" t="n">
        <v>16</v>
      </c>
      <c r="K20" s="2" t="inlineStr">
        <is>
          <t>印记体系回报牌</t>
        </is>
      </c>
      <c r="L20" s="3" t="inlineStr">
        <is>
          <t>PLACEHOLDER</t>
        </is>
      </c>
    </row>
    <row r="21">
      <c r="A21" s="2" t="inlineStr">
        <is>
          <t>card_break_army_01</t>
        </is>
      </c>
      <c r="B21" s="2" t="inlineStr">
        <is>
          <t>破军斩</t>
        </is>
      </c>
      <c r="C21" s="2" t="inlineStr">
        <is>
          <t>灵品</t>
        </is>
      </c>
      <c r="D21" s="2" t="inlineStr">
        <is>
          <t>攻击功法</t>
        </is>
      </c>
      <c r="E21" s="2" t="n">
        <v>3</v>
      </c>
      <c r="F21" s="2" t="n">
        <v>16</v>
      </c>
      <c r="G21" s="2" t="n">
        <v>0</v>
      </c>
      <c r="H21" s="2" t="n">
        <v>0</v>
      </c>
      <c r="I21" s="2" t="inlineStr">
        <is>
          <t>目标破防时伤害翻倍</t>
        </is>
      </c>
      <c r="J21" s="2" t="n">
        <v>32</v>
      </c>
      <c r="K21" s="2" t="inlineStr">
        <is>
          <t>破防体系终极回报</t>
        </is>
      </c>
      <c r="L21" s="3" t="inlineStr">
        <is>
          <t>PLACEHOLDER</t>
        </is>
      </c>
    </row>
    <row r="22">
      <c r="A22" s="2" t="inlineStr">
        <is>
          <t>card_sword_will_01</t>
        </is>
      </c>
      <c r="B22" s="2" t="inlineStr">
        <is>
          <t>剑意贯通</t>
        </is>
      </c>
      <c r="C22" s="2" t="inlineStr">
        <is>
          <t>灵品</t>
        </is>
      </c>
      <c r="D22" s="2" t="inlineStr">
        <is>
          <t>攻击功法</t>
        </is>
      </c>
      <c r="E22" s="2" t="n">
        <v>1</v>
      </c>
      <c r="F22" s="2" t="n">
        <v>4</v>
      </c>
      <c r="G22" s="2" t="n">
        <v>0</v>
      </c>
      <c r="H22" s="2" t="n">
        <v>0</v>
      </c>
      <c r="I22" s="2" t="inlineStr">
        <is>
          <t>本回合每打出1张攻击+4伤害</t>
        </is>
      </c>
      <c r="J22" s="2" t="n">
        <v>12</v>
      </c>
      <c r="K22" s="2" t="inlineStr">
        <is>
          <t>连击体系计分牌</t>
        </is>
      </c>
      <c r="L22" s="3" t="inlineStr">
        <is>
          <t>PLACEHOLDER</t>
        </is>
      </c>
    </row>
    <row r="23">
      <c r="A23" s="2" t="inlineStr">
        <is>
          <t>card_tenk_sword_01</t>
        </is>
      </c>
      <c r="B23" s="2" t="inlineStr">
        <is>
          <t>万剑诀</t>
        </is>
      </c>
      <c r="C23" s="2" t="inlineStr">
        <is>
          <t>灵品</t>
        </is>
      </c>
      <c r="D23" s="2" t="inlineStr">
        <is>
          <t>攻击功法</t>
        </is>
      </c>
      <c r="E23" s="2" t="n">
        <v>2</v>
      </c>
      <c r="F23" s="2" t="n">
        <v>0</v>
      </c>
      <c r="G23" s="2" t="n">
        <v>0</v>
      </c>
      <c r="H23" s="2" t="n">
        <v>0</v>
      </c>
      <c r="I23" s="2" t="inlineStr">
        <is>
          <t>4伤害×3次</t>
        </is>
      </c>
      <c r="J23" s="2" t="n">
        <v>18</v>
      </c>
      <c r="K23" s="2" t="inlineStr">
        <is>
          <t>多段攻击——多重协同</t>
        </is>
      </c>
      <c r="L23" s="3" t="inlineStr">
        <is>
          <t>PLACEHOLDER</t>
        </is>
      </c>
    </row>
    <row r="24">
      <c r="A24" s="2" t="inlineStr">
        <is>
          <t>card_shadow_sword_01</t>
        </is>
      </c>
      <c r="B24" s="2" t="inlineStr">
        <is>
          <t>无影剑</t>
        </is>
      </c>
      <c r="C24" s="2" t="inlineStr">
        <is>
          <t>仙品</t>
        </is>
      </c>
      <c r="D24" s="2" t="inlineStr">
        <is>
          <t>攻击功法</t>
        </is>
      </c>
      <c r="E24" s="2" t="n">
        <v>0</v>
      </c>
      <c r="F24" s="2" t="n">
        <v>3</v>
      </c>
      <c r="G24" s="2" t="n">
        <v>0</v>
      </c>
      <c r="H24" s="2" t="n">
        <v>0</v>
      </c>
      <c r="I24" s="2" t="inlineStr">
        <is>
          <t>使用后手牌上限-1</t>
        </is>
      </c>
      <c r="J24" s="2" t="n">
        <v>3</v>
      </c>
      <c r="K24" s="2" t="inlineStr">
        <is>
          <t>0费但有代价</t>
        </is>
      </c>
      <c r="L24" s="3" t="inlineStr">
        <is>
          <t>PLACEHOLDER</t>
        </is>
      </c>
    </row>
    <row r="25">
      <c r="A25" s="2" t="inlineStr">
        <is>
          <t>card_sword_heart_01</t>
        </is>
      </c>
      <c r="B25" s="2" t="inlineStr">
        <is>
          <t>剑心通明</t>
        </is>
      </c>
      <c r="C25" s="2" t="inlineStr">
        <is>
          <t>仙品</t>
        </is>
      </c>
      <c r="D25" s="2" t="inlineStr">
        <is>
          <t>攻击功法</t>
        </is>
      </c>
      <c r="E25" s="2" t="n">
        <v>3</v>
      </c>
      <c r="F25" s="2" t="n">
        <v>0</v>
      </c>
      <c r="G25" s="2" t="n">
        <v>0</v>
      </c>
      <c r="H25" s="2" t="n">
        <v>0</v>
      </c>
      <c r="I25" s="2" t="inlineStr">
        <is>
          <t>本回合攻击牌灵力-1+抽1</t>
        </is>
      </c>
      <c r="J25" s="2" t="n">
        <v>16</v>
      </c>
      <c r="K25" s="2" t="inlineStr">
        <is>
          <t>连击引擎牌</t>
        </is>
      </c>
      <c r="L25" s="3" t="inlineStr">
        <is>
          <t>PLACEHOLDER</t>
        </is>
      </c>
    </row>
    <row r="26">
      <c r="A26" s="2" t="inlineStr">
        <is>
          <t>card_zhu_xian_01</t>
        </is>
      </c>
      <c r="B26" s="2" t="inlineStr">
        <is>
          <t>诛仙剑阵</t>
        </is>
      </c>
      <c r="C26" s="2" t="inlineStr">
        <is>
          <t>圣品</t>
        </is>
      </c>
      <c r="D26" s="2" t="inlineStr">
        <is>
          <t>攻击功法</t>
        </is>
      </c>
      <c r="E26" s="2" t="n">
        <v>5</v>
      </c>
      <c r="F26" s="2" t="n">
        <v>0</v>
      </c>
      <c r="G26" s="2" t="n">
        <v>0</v>
      </c>
      <c r="H26" s="2" t="n">
        <v>0</v>
      </c>
      <c r="I26" s="2" t="inlineStr">
        <is>
          <t>全体25伤+消耗</t>
        </is>
      </c>
      <c r="J26" s="2" t="n">
        <v>40</v>
      </c>
      <c r="K26" s="2" t="inlineStr">
        <is>
          <t>一次性清场核弹</t>
        </is>
      </c>
      <c r="L26" s="3" t="inlineStr">
        <is>
          <t>PLACEHOLDER</t>
        </is>
      </c>
    </row>
    <row r="27">
      <c r="A27" s="2" t="inlineStr">
        <is>
          <t>card_sword_body_01</t>
        </is>
      </c>
      <c r="B27" s="2" t="inlineStr">
        <is>
          <t>人剑合一</t>
        </is>
      </c>
      <c r="C27" s="2" t="inlineStr">
        <is>
          <t>圣品</t>
        </is>
      </c>
      <c r="D27" s="2" t="inlineStr">
        <is>
          <t>攻击功法</t>
        </is>
      </c>
      <c r="E27" s="2" t="n">
        <v>2</v>
      </c>
      <c r="F27" s="2" t="n">
        <v>0</v>
      </c>
      <c r="G27" s="2" t="n">
        <v>0</v>
      </c>
      <c r="H27" s="2" t="n">
        <v>0</v>
      </c>
      <c r="I27" s="2" t="inlineStr">
        <is>
          <t>永久攻击+3+消耗</t>
        </is>
      </c>
      <c r="J27" s="2" t="n">
        <v>18</v>
      </c>
      <c r="K27" s="2" t="inlineStr">
        <is>
          <t>长战斗投资</t>
        </is>
      </c>
      <c r="L27" s="3" t="inlineStr">
        <is>
          <t>PLACEHOLDER</t>
        </is>
      </c>
    </row>
    <row r="28">
      <c r="A28" s="2" t="inlineStr">
        <is>
          <t>card_sword_gate_01</t>
        </is>
      </c>
      <c r="B28" s="2" t="inlineStr">
        <is>
          <t>剑开天门</t>
        </is>
      </c>
      <c r="C28" s="2" t="inlineStr">
        <is>
          <t>道品</t>
        </is>
      </c>
      <c r="D28" s="2" t="inlineStr">
        <is>
          <t>攻击功法</t>
        </is>
      </c>
      <c r="E28" s="2" t="n">
        <v>6</v>
      </c>
      <c r="F28" s="2" t="n">
        <v>40</v>
      </c>
      <c r="G28" s="2" t="n">
        <v>0</v>
      </c>
      <c r="H28" s="2" t="n">
        <v>0</v>
      </c>
      <c r="I28" s="2" t="inlineStr">
        <is>
          <t>无视防御+击杀回满灵力</t>
        </is>
      </c>
      <c r="J28" s="2" t="n">
        <v>48</v>
      </c>
      <c r="K28" s="2" t="inlineStr">
        <is>
          <t>Run定义级卡牌</t>
        </is>
      </c>
      <c r="L28" s="3" t="inlineStr">
        <is>
          <t>PLACEHOLDER</t>
        </is>
      </c>
    </row>
    <row r="29">
      <c r="A29" s="2" t="inlineStr">
        <is>
          <t>card_sword_defend_01</t>
        </is>
      </c>
      <c r="B29" s="2" t="inlineStr">
        <is>
          <t>剑御</t>
        </is>
      </c>
      <c r="C29" s="2" t="inlineStr">
        <is>
          <t>凡品</t>
        </is>
      </c>
      <c r="D29" s="2" t="inlineStr">
        <is>
          <t>防御功法</t>
        </is>
      </c>
      <c r="E29" s="2" t="n">
        <v>1</v>
      </c>
      <c r="F29" s="2" t="n">
        <v>0</v>
      </c>
      <c r="G29" s="2" t="n">
        <v>5</v>
      </c>
      <c r="H29" s="2" t="n">
        <v>0</v>
      </c>
      <c r="I29" s="2" t="inlineStr">
        <is>
          <t>施加1层剑气印记</t>
        </is>
      </c>
      <c r="J29" s="2" t="n">
        <v>9</v>
      </c>
      <c r="K29" s="2" t="inlineStr">
        <is>
          <t>防御+印记积累</t>
        </is>
      </c>
      <c r="L29" s="3" t="inlineStr">
        <is>
          <t>PLACEHOLDER</t>
        </is>
      </c>
    </row>
    <row r="30">
      <c r="A30" s="2" t="inlineStr">
        <is>
          <t>card_sword_wall_01</t>
        </is>
      </c>
      <c r="B30" s="2" t="inlineStr">
        <is>
          <t>剑气护壁</t>
        </is>
      </c>
      <c r="C30" s="2" t="inlineStr">
        <is>
          <t>灵品</t>
        </is>
      </c>
      <c r="D30" s="2" t="inlineStr">
        <is>
          <t>防御功法</t>
        </is>
      </c>
      <c r="E30" s="2" t="n">
        <v>2</v>
      </c>
      <c r="F30" s="2" t="n">
        <v>0</v>
      </c>
      <c r="G30" s="2" t="n">
        <v>8</v>
      </c>
      <c r="H30" s="2" t="n">
        <v>0</v>
      </c>
      <c r="I30" s="2" t="inlineStr">
        <is>
          <t>每层印记+2护盾</t>
        </is>
      </c>
      <c r="J30" s="2" t="n">
        <v>14</v>
      </c>
      <c r="K30" s="2" t="inlineStr">
        <is>
          <t>印记体系防御回报</t>
        </is>
      </c>
      <c r="L30" s="3" t="inlineStr">
        <is>
          <t>PLACEHOLDER</t>
        </is>
      </c>
    </row>
    <row r="31">
      <c r="A31" s="2" t="inlineStr">
        <is>
          <t>card_tenk_defend_01</t>
        </is>
      </c>
      <c r="B31" s="2" t="inlineStr">
        <is>
          <t>万剑护体</t>
        </is>
      </c>
      <c r="C31" s="2" t="inlineStr">
        <is>
          <t>仙品</t>
        </is>
      </c>
      <c r="D31" s="2" t="inlineStr">
        <is>
          <t>防御功法</t>
        </is>
      </c>
      <c r="E31" s="2" t="n">
        <v>3</v>
      </c>
      <c r="F31" s="2" t="n">
        <v>0</v>
      </c>
      <c r="G31" s="2" t="n">
        <v>0</v>
      </c>
      <c r="H31" s="2" t="n">
        <v>0</v>
      </c>
      <c r="I31" s="2" t="inlineStr">
        <is>
          <t>6护盾×(攻击次数+1)</t>
        </is>
      </c>
      <c r="J31" s="2" t="n">
        <v>18</v>
      </c>
      <c r="K31" s="2" t="inlineStr">
        <is>
          <t>连击体系防御回报</t>
        </is>
      </c>
      <c r="L31" s="3" t="inlineStr">
        <is>
          <t>PLACEHOLDER</t>
        </is>
      </c>
    </row>
    <row r="32">
      <c r="A32" s="2" t="inlineStr">
        <is>
          <t>card_immortal_body_01</t>
        </is>
      </c>
      <c r="B32" s="2" t="inlineStr">
        <is>
          <t>不灭剑体</t>
        </is>
      </c>
      <c r="C32" s="2" t="inlineStr">
        <is>
          <t>圣品</t>
        </is>
      </c>
      <c r="D32" s="2" t="inlineStr">
        <is>
          <t>防御功法</t>
        </is>
      </c>
      <c r="E32" s="2" t="n">
        <v>4</v>
      </c>
      <c r="F32" s="2" t="n">
        <v>0</v>
      </c>
      <c r="G32" s="2" t="n">
        <v>0</v>
      </c>
      <c r="H32" s="2" t="n">
        <v>0</v>
      </c>
      <c r="I32" s="2" t="inlineStr">
        <is>
          <t>本回合免疫所有伤害+消耗</t>
        </is>
      </c>
      <c r="J32" s="2" t="n">
        <v>40</v>
      </c>
      <c r="K32" s="2" t="inlineStr">
        <is>
          <t>绝对防御</t>
        </is>
      </c>
      <c r="L32" s="3" t="inlineStr">
        <is>
          <t>PLACEHOLDER</t>
        </is>
      </c>
    </row>
    <row r="33">
      <c r="A33" s="2" t="inlineStr">
        <is>
          <t>card_sword_step_01</t>
        </is>
      </c>
      <c r="B33" s="2" t="inlineStr">
        <is>
          <t>剑步</t>
        </is>
      </c>
      <c r="C33" s="2" t="inlineStr">
        <is>
          <t>凡品</t>
        </is>
      </c>
      <c r="D33" s="2" t="inlineStr">
        <is>
          <t>身法</t>
        </is>
      </c>
      <c r="E33" s="2" t="n">
        <v>1</v>
      </c>
      <c r="F33" s="2" t="n">
        <v>0</v>
      </c>
      <c r="G33" s="2" t="n">
        <v>4</v>
      </c>
      <c r="H33" s="2" t="n">
        <v>0</v>
      </c>
      <c r="I33" s="2" t="inlineStr">
        <is>
          <t>抽1张牌</t>
        </is>
      </c>
      <c r="J33" s="2" t="n">
        <v>8</v>
      </c>
      <c r="K33" s="2" t="inlineStr">
        <is>
          <t>防御+过牌</t>
        </is>
      </c>
      <c r="L33" s="3" t="inlineStr">
        <is>
          <t>PLACEHOLDER</t>
        </is>
      </c>
    </row>
    <row r="34">
      <c r="A34" s="2" t="inlineStr">
        <is>
          <t>card_phantom_sword_01</t>
        </is>
      </c>
      <c r="B34" s="2" t="inlineStr">
        <is>
          <t>幻影剑步</t>
        </is>
      </c>
      <c r="C34" s="2" t="inlineStr">
        <is>
          <t>灵品</t>
        </is>
      </c>
      <c r="D34" s="2" t="inlineStr">
        <is>
          <t>身法</t>
        </is>
      </c>
      <c r="E34" s="2" t="n">
        <v>1</v>
      </c>
      <c r="F34" s="2" t="n">
        <v>0</v>
      </c>
      <c r="G34" s="2" t="n">
        <v>0</v>
      </c>
      <c r="H34" s="2" t="n">
        <v>0</v>
      </c>
      <c r="I34" s="2" t="inlineStr">
        <is>
          <t>1次闪避+抽1</t>
        </is>
      </c>
      <c r="J34" s="2" t="n">
        <v>12</v>
      </c>
      <c r="K34" s="2" t="inlineStr">
        <is>
          <t>高风险回合救命牌</t>
        </is>
      </c>
      <c r="L34" s="3" t="inlineStr">
        <is>
          <t>PLACEHOLDER</t>
        </is>
      </c>
    </row>
    <row r="35">
      <c r="A35" s="2" t="inlineStr">
        <is>
          <t>card_sword_escape_01</t>
        </is>
      </c>
      <c r="B35" s="2" t="inlineStr">
        <is>
          <t>剑遁</t>
        </is>
      </c>
      <c r="C35" s="2" t="inlineStr">
        <is>
          <t>仙品</t>
        </is>
      </c>
      <c r="D35" s="2" t="inlineStr">
        <is>
          <t>身法</t>
        </is>
      </c>
      <c r="E35" s="2" t="n">
        <v>2</v>
      </c>
      <c r="F35" s="2" t="n">
        <v>0</v>
      </c>
      <c r="G35" s="2" t="n">
        <v>0</v>
      </c>
      <c r="H35" s="2" t="n">
        <v>0</v>
      </c>
      <c r="I35" s="2" t="inlineStr">
        <is>
          <t>攻击牌回库+每张抽2</t>
        </is>
      </c>
      <c r="J35" s="2" t="n">
        <v>12</v>
      </c>
      <c r="K35" s="2" t="inlineStr">
        <is>
          <t>手牌刷新</t>
        </is>
      </c>
      <c r="L35" s="3" t="inlineStr">
        <is>
          <t>PLACEHOLDER</t>
        </is>
      </c>
    </row>
    <row r="36">
      <c r="A36" s="2" t="inlineStr">
        <is>
          <t>card_sword_energy_01</t>
        </is>
      </c>
      <c r="B36" s="2" t="inlineStr">
        <is>
          <t>聚灵术</t>
        </is>
      </c>
      <c r="C36" s="2" t="inlineStr">
        <is>
          <t>灵品</t>
        </is>
      </c>
      <c r="D36" s="2" t="inlineStr">
        <is>
          <t>秘术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inlineStr">
        <is>
          <t>下回合+2灵力+消耗</t>
        </is>
      </c>
      <c r="J36" s="2" t="n">
        <v>12</v>
      </c>
      <c r="K36" s="2" t="inlineStr">
        <is>
          <t>灵力投资</t>
        </is>
      </c>
      <c r="L36" s="3" t="inlineStr">
        <is>
          <t>PLACEHOLDER</t>
        </is>
      </c>
    </row>
    <row r="37">
      <c r="A37" s="2" t="inlineStr">
        <is>
          <t>card_sword_qi_blast_01</t>
        </is>
      </c>
      <c r="B37" s="2" t="inlineStr">
        <is>
          <t>剑气纵横</t>
        </is>
      </c>
      <c r="C37" s="2" t="inlineStr">
        <is>
          <t>仙品</t>
        </is>
      </c>
      <c r="D37" s="2" t="inlineStr">
        <is>
          <t>秘术</t>
        </is>
      </c>
      <c r="E37" s="2" t="n">
        <v>2</v>
      </c>
      <c r="F37" s="2" t="n">
        <v>0</v>
      </c>
      <c r="G37" s="2" t="n">
        <v>0</v>
      </c>
      <c r="H37" s="2" t="n">
        <v>0</v>
      </c>
      <c r="I37" s="2" t="inlineStr">
        <is>
          <t>全体2层印记+抽1</t>
        </is>
      </c>
      <c r="J37" s="2" t="n">
        <v>16</v>
      </c>
      <c r="K37" s="2" t="inlineStr">
        <is>
          <t>印记体系启动器</t>
        </is>
      </c>
      <c r="L37" s="3" t="inlineStr">
        <is>
          <t>PLACEHOLDER</t>
        </is>
      </c>
    </row>
    <row r="38">
      <c r="A38" s="2" t="inlineStr">
        <is>
          <t>card_sword_dao_01</t>
        </is>
      </c>
      <c r="B38" s="2" t="inlineStr">
        <is>
          <t>剑道真解</t>
        </is>
      </c>
      <c r="C38" s="2" t="inlineStr">
        <is>
          <t>圣品</t>
        </is>
      </c>
      <c r="D38" s="2" t="inlineStr">
        <is>
          <t>秘术</t>
        </is>
      </c>
      <c r="E38" s="2" t="n">
        <v>3</v>
      </c>
      <c r="F38" s="2" t="n">
        <v>0</v>
      </c>
      <c r="G38" s="2" t="n">
        <v>0</v>
      </c>
      <c r="H38" s="2" t="n">
        <v>0</v>
      </c>
      <c r="I38" s="2" t="inlineStr">
        <is>
          <t>三选一Run定义强化+消耗</t>
        </is>
      </c>
      <c r="J38" s="2" t="n">
        <v>30</v>
      </c>
      <c r="K38" s="2" t="inlineStr">
        <is>
          <t>Run定义级秘术</t>
        </is>
      </c>
      <c r="L38" s="3" t="inlineStr">
        <is>
          <t>PLACEHOLDER</t>
        </is>
      </c>
    </row>
    <row r="39">
      <c r="A39" s="2" t="inlineStr">
        <is>
          <t>card_fire_ball_01</t>
        </is>
      </c>
      <c r="B39" s="2" t="inlineStr">
        <is>
          <t>火球术</t>
        </is>
      </c>
      <c r="C39" s="2" t="inlineStr">
        <is>
          <t>凡品</t>
        </is>
      </c>
      <c r="D39" s="2" t="inlineStr">
        <is>
          <t>攻击功法</t>
        </is>
      </c>
      <c r="E39" s="2" t="n">
        <v>2</v>
      </c>
      <c r="F39" s="2" t="n">
        <v>14</v>
      </c>
      <c r="G39" s="2" t="n">
        <v>0</v>
      </c>
      <c r="H39" s="2" t="n">
        <v>0</v>
      </c>
      <c r="I39" s="2" t="inlineStr">
        <is>
          <t>无</t>
        </is>
      </c>
      <c r="J39" s="2" t="n">
        <v>14</v>
      </c>
      <c r="K39" s="2" t="inlineStr">
        <is>
          <t>火云宗直伤选择</t>
        </is>
      </c>
      <c r="L39" s="3" t="inlineStr">
        <is>
          <t>PLACEHOLDER</t>
        </is>
      </c>
    </row>
    <row r="40">
      <c r="A40" s="2" t="inlineStr">
        <is>
          <t>card_fire_blade_01</t>
        </is>
      </c>
      <c r="B40" s="2" t="inlineStr">
        <is>
          <t>火焰刀</t>
        </is>
      </c>
      <c r="C40" s="2" t="inlineStr">
        <is>
          <t>凡品</t>
        </is>
      </c>
      <c r="D40" s="2" t="inlineStr">
        <is>
          <t>攻击功法</t>
        </is>
      </c>
      <c r="E40" s="2" t="n">
        <v>1</v>
      </c>
      <c r="F40" s="2" t="n">
        <v>4</v>
      </c>
      <c r="G40" s="2" t="n">
        <v>0</v>
      </c>
      <c r="H40" s="2" t="n">
        <v>0</v>
      </c>
      <c r="I40" s="2" t="inlineStr">
        <is>
          <t>目标有灼烧+4伤害</t>
        </is>
      </c>
      <c r="J40" s="2" t="n">
        <v>8</v>
      </c>
      <c r="K40" s="2" t="inlineStr">
        <is>
          <t>灼烧体系早期回报</t>
        </is>
      </c>
      <c r="L40" s="3" t="inlineStr">
        <is>
          <t>PLACEHOLDER</t>
        </is>
      </c>
    </row>
    <row r="41">
      <c r="A41" s="2" t="inlineStr">
        <is>
          <t>card_wildfire_01</t>
        </is>
      </c>
      <c r="B41" s="2" t="inlineStr">
        <is>
          <t>燎原之火</t>
        </is>
      </c>
      <c r="C41" s="2" t="inlineStr">
        <is>
          <t>凡品</t>
        </is>
      </c>
      <c r="D41" s="2" t="inlineStr">
        <is>
          <t>攻击功法</t>
        </is>
      </c>
      <c r="E41" s="2" t="n">
        <v>2</v>
      </c>
      <c r="F41" s="2" t="n">
        <v>0</v>
      </c>
      <c r="G41" s="2" t="n">
        <v>0</v>
      </c>
      <c r="H41" s="2" t="n">
        <v>0</v>
      </c>
      <c r="I41" s="2" t="inlineStr">
        <is>
          <t>全体4伤+灼烧1层2回合</t>
        </is>
      </c>
      <c r="J41" s="2" t="n">
        <v>14</v>
      </c>
      <c r="K41" s="2" t="inlineStr">
        <is>
          <t>基础AOE+DOT</t>
        </is>
      </c>
      <c r="L41" s="3" t="inlineStr">
        <is>
          <t>PLACEHOLDER</t>
        </is>
      </c>
    </row>
    <row r="42">
      <c r="A42" s="2" t="inlineStr">
        <is>
          <t>card_flame_mark_01</t>
        </is>
      </c>
      <c r="B42" s="2" t="inlineStr">
        <is>
          <t>烈焰印记</t>
        </is>
      </c>
      <c r="C42" s="2" t="inlineStr">
        <is>
          <t>凡品</t>
        </is>
      </c>
      <c r="D42" s="2" t="inlineStr">
        <is>
          <t>攻击功法</t>
        </is>
      </c>
      <c r="E42" s="2" t="n">
        <v>1</v>
      </c>
      <c r="F42" s="2" t="n">
        <v>0</v>
      </c>
      <c r="G42" s="2" t="n">
        <v>0</v>
      </c>
      <c r="H42" s="2" t="n">
        <v>0</v>
      </c>
      <c r="I42" s="2" t="inlineStr">
        <is>
          <t>施加2层烈焰印记+抽1</t>
        </is>
      </c>
      <c r="J42" s="2" t="n">
        <v>12</v>
      </c>
      <c r="K42" s="2" t="inlineStr">
        <is>
          <t>烈焰印记入门</t>
        </is>
      </c>
      <c r="L42" s="3" t="inlineStr">
        <is>
          <t>PLACEHOLDER</t>
        </is>
      </c>
    </row>
    <row r="43">
      <c r="A43" s="2" t="inlineStr">
        <is>
          <t>card_explosion_01</t>
        </is>
      </c>
      <c r="B43" s="2" t="inlineStr">
        <is>
          <t>炎爆术</t>
        </is>
      </c>
      <c r="C43" s="2" t="inlineStr">
        <is>
          <t>灵品</t>
        </is>
      </c>
      <c r="D43" s="2" t="inlineStr">
        <is>
          <t>攻击功法</t>
        </is>
      </c>
      <c r="E43" s="2" t="n">
        <v>2</v>
      </c>
      <c r="F43" s="2" t="n">
        <v>0</v>
      </c>
      <c r="G43" s="2" t="n">
        <v>0</v>
      </c>
      <c r="H43" s="2" t="n">
        <v>0</v>
      </c>
      <c r="I43" s="2" t="inlineStr">
        <is>
          <t>引爆所有灼烧+施加1层</t>
        </is>
      </c>
      <c r="J43" s="2" t="n">
        <v>18</v>
      </c>
      <c r="K43" s="2" t="inlineStr">
        <is>
          <t>灼烧爆发核心</t>
        </is>
      </c>
      <c r="L43" s="3" t="inlineStr">
        <is>
          <t>PLACEHOLDER</t>
        </is>
      </c>
    </row>
    <row r="44">
      <c r="A44" s="2" t="inlineStr">
        <is>
          <t>card_fire_snake_01</t>
        </is>
      </c>
      <c r="B44" s="2" t="inlineStr">
        <is>
          <t>火蛇缠绕</t>
        </is>
      </c>
      <c r="C44" s="2" t="inlineStr">
        <is>
          <t>灵品</t>
        </is>
      </c>
      <c r="D44" s="2" t="inlineStr">
        <is>
          <t>攻击功法</t>
        </is>
      </c>
      <c r="E44" s="2" t="n">
        <v>1</v>
      </c>
      <c r="F44" s="2" t="n">
        <v>3</v>
      </c>
      <c r="G44" s="2" t="n">
        <v>0</v>
      </c>
      <c r="H44" s="2" t="n">
        <v>0</v>
      </c>
      <c r="I44" s="2" t="inlineStr">
        <is>
          <t>施加3层灼烧2回合</t>
        </is>
      </c>
      <c r="J44" s="2" t="n">
        <v>21</v>
      </c>
      <c r="K44" s="2" t="inlineStr">
        <is>
          <t>极致DOT牌</t>
        </is>
      </c>
      <c r="L44" s="3" t="inlineStr">
        <is>
          <t>PLACEHOLDER</t>
        </is>
      </c>
    </row>
    <row r="45">
      <c r="A45" s="2" t="inlineStr">
        <is>
          <t>card_phoenix_wing_01</t>
        </is>
      </c>
      <c r="B45" s="2" t="inlineStr">
        <is>
          <t>火凤展翅</t>
        </is>
      </c>
      <c r="C45" s="2" t="inlineStr">
        <is>
          <t>灵品</t>
        </is>
      </c>
      <c r="D45" s="2" t="inlineStr">
        <is>
          <t>攻击功法</t>
        </is>
      </c>
      <c r="E45" s="2" t="n">
        <v>3</v>
      </c>
      <c r="F45" s="2" t="n">
        <v>12</v>
      </c>
      <c r="G45" s="2" t="n">
        <v>0</v>
      </c>
      <c r="H45" s="2" t="n">
        <v>0</v>
      </c>
      <c r="I45" s="2" t="inlineStr">
        <is>
          <t>每有灼烧敌人灵力-1</t>
        </is>
      </c>
      <c r="J45" s="2" t="n">
        <v>20</v>
      </c>
      <c r="K45" s="2" t="inlineStr">
        <is>
          <t>灼烧减费回报</t>
        </is>
      </c>
      <c r="L45" s="3" t="inlineStr">
        <is>
          <t>PLACEHOLDER</t>
        </is>
      </c>
    </row>
    <row r="46">
      <c r="A46" s="2" t="inlineStr">
        <is>
          <t>card_sky_fire_01</t>
        </is>
      </c>
      <c r="B46" s="2" t="inlineStr">
        <is>
          <t>天火焚城</t>
        </is>
      </c>
      <c r="C46" s="2" t="inlineStr">
        <is>
          <t>仙品</t>
        </is>
      </c>
      <c r="D46" s="2" t="inlineStr">
        <is>
          <t>攻击功法</t>
        </is>
      </c>
      <c r="E46" s="2" t="n">
        <v>4</v>
      </c>
      <c r="F46" s="2" t="n">
        <v>0</v>
      </c>
      <c r="G46" s="2" t="n">
        <v>0</v>
      </c>
      <c r="H46" s="2" t="n">
        <v>0</v>
      </c>
      <c r="I46" s="2" t="inlineStr">
        <is>
          <t>全体10伤+灼烧2层4回合+累加</t>
        </is>
      </c>
      <c r="J46" s="2" t="n">
        <v>26</v>
      </c>
      <c r="K46" s="2" t="inlineStr">
        <is>
          <t>标志性成长AOE</t>
        </is>
      </c>
      <c r="L46" s="3" t="inlineStr">
        <is>
          <t>PLACEHOLDER</t>
        </is>
      </c>
    </row>
    <row r="47">
      <c r="A47" s="2" t="inlineStr">
        <is>
          <t>card_phoenix_reborn_01</t>
        </is>
      </c>
      <c r="B47" s="2" t="inlineStr">
        <is>
          <t>凤凰涅槃</t>
        </is>
      </c>
      <c r="C47" s="2" t="inlineStr">
        <is>
          <t>仙品</t>
        </is>
      </c>
      <c r="D47" s="2" t="inlineStr">
        <is>
          <t>攻击功法</t>
        </is>
      </c>
      <c r="E47" s="2" t="n">
        <v>3</v>
      </c>
      <c r="F47" s="2" t="n">
        <v>0</v>
      </c>
      <c r="G47" s="2" t="n">
        <v>0</v>
      </c>
      <c r="H47" s="2" t="n">
        <v>0</v>
      </c>
      <c r="I47" s="2" t="inlineStr">
        <is>
          <t>消耗手牌每张5伤+1灼烧</t>
        </is>
      </c>
      <c r="J47" s="2" t="n">
        <v>25</v>
      </c>
      <c r="K47" s="2" t="inlineStr">
        <is>
          <t>清手牌combo</t>
        </is>
      </c>
      <c r="L47" s="3" t="inlineStr">
        <is>
          <t>PLACEHOLDER</t>
        </is>
      </c>
    </row>
    <row r="48">
      <c r="A48" s="2" t="inlineStr">
        <is>
          <t>card_fire_storm_01</t>
        </is>
      </c>
      <c r="B48" s="2" t="inlineStr">
        <is>
          <t>烈焰风暴</t>
        </is>
      </c>
      <c r="C48" s="2" t="inlineStr">
        <is>
          <t>仙品</t>
        </is>
      </c>
      <c r="D48" s="2" t="inlineStr">
        <is>
          <t>攻击功法</t>
        </is>
      </c>
      <c r="E48" s="2" t="n">
        <v>2</v>
      </c>
      <c r="F48" s="2" t="n">
        <v>6</v>
      </c>
      <c r="G48" s="2" t="n">
        <v>0</v>
      </c>
      <c r="H48" s="2" t="n">
        <v>0</v>
      </c>
      <c r="I48" s="2" t="inlineStr">
        <is>
          <t>引爆印记不消耗+抽1</t>
        </is>
      </c>
      <c r="J48" s="2" t="n">
        <v>20</v>
      </c>
      <c r="K48" s="2" t="inlineStr">
        <is>
          <t>印记体系终极回报</t>
        </is>
      </c>
      <c r="L48" s="3" t="inlineStr">
        <is>
          <t>PLACEHOLDER</t>
        </is>
      </c>
    </row>
    <row r="49">
      <c r="A49" s="2" t="inlineStr">
        <is>
          <t>card_true_fire_01</t>
        </is>
      </c>
      <c r="B49" s="2" t="inlineStr">
        <is>
          <t>三昧真火</t>
        </is>
      </c>
      <c r="C49" s="2" t="inlineStr">
        <is>
          <t>圣品</t>
        </is>
      </c>
      <c r="D49" s="2" t="inlineStr">
        <is>
          <t>攻击功法</t>
        </is>
      </c>
      <c r="E49" s="2" t="n">
        <v>3</v>
      </c>
      <c r="F49" s="2" t="n">
        <v>0</v>
      </c>
      <c r="G49" s="2" t="n">
        <v>0</v>
      </c>
      <c r="H49" s="2" t="n">
        <v>0</v>
      </c>
      <c r="I49" s="2" t="inlineStr">
        <is>
          <t>灼烧5层5回合不可净化+消耗</t>
        </is>
      </c>
      <c r="J49" s="2" t="n">
        <v>45</v>
      </c>
      <c r="K49" s="2" t="inlineStr">
        <is>
          <t>终极灼烧核弹</t>
        </is>
      </c>
      <c r="L49" s="3" t="inlineStr">
        <is>
          <t>PLACEHOLDER</t>
        </is>
      </c>
    </row>
    <row r="50">
      <c r="A50" s="2" t="inlineStr">
        <is>
          <t>card_great_sun_01</t>
        </is>
      </c>
      <c r="B50" s="2" t="inlineStr">
        <is>
          <t>大日焚天诀</t>
        </is>
      </c>
      <c r="C50" s="2" t="inlineStr">
        <is>
          <t>道品</t>
        </is>
      </c>
      <c r="D50" s="2" t="inlineStr">
        <is>
          <t>攻击功法</t>
        </is>
      </c>
      <c r="E50" s="2" t="n">
        <v>5</v>
      </c>
      <c r="F50" s="2" t="n">
        <v>0</v>
      </c>
      <c r="G50" s="2" t="n">
        <v>0</v>
      </c>
      <c r="H50" s="2" t="n">
        <v>0</v>
      </c>
      <c r="I50" s="2" t="inlineStr">
        <is>
          <t>引爆全场+全体灼烧3层3回合</t>
        </is>
      </c>
      <c r="J50" s="2" t="n">
        <v>50</v>
      </c>
      <c r="K50" s="2" t="inlineStr">
        <is>
          <t>Run定义级</t>
        </is>
      </c>
      <c r="L50" s="3" t="inlineStr">
        <is>
          <t>PLACEHOLDER</t>
        </is>
      </c>
    </row>
    <row r="51">
      <c r="A51" s="2" t="inlineStr">
        <is>
          <t>card_fire_shield_01</t>
        </is>
      </c>
      <c r="B51" s="2" t="inlineStr">
        <is>
          <t>火盾</t>
        </is>
      </c>
      <c r="C51" s="2" t="inlineStr">
        <is>
          <t>凡品</t>
        </is>
      </c>
      <c r="D51" s="2" t="inlineStr">
        <is>
          <t>防御功法</t>
        </is>
      </c>
      <c r="E51" s="2" t="n">
        <v>1</v>
      </c>
      <c r="F51" s="2" t="n">
        <v>0</v>
      </c>
      <c r="G51" s="2" t="n">
        <v>6</v>
      </c>
      <c r="H51" s="2" t="n">
        <v>0</v>
      </c>
      <c r="I51" s="2" t="inlineStr">
        <is>
          <t>对攻击者施加1层灼烧</t>
        </is>
      </c>
      <c r="J51" s="2" t="n">
        <v>10</v>
      </c>
      <c r="K51" s="2" t="inlineStr">
        <is>
          <t>防御+灼烧反伤</t>
        </is>
      </c>
      <c r="L51" s="3" t="inlineStr">
        <is>
          <t>PLACEHOLDER</t>
        </is>
      </c>
    </row>
    <row r="52">
      <c r="A52" s="2" t="inlineStr">
        <is>
          <t>card_lava_armor_01</t>
        </is>
      </c>
      <c r="B52" s="2" t="inlineStr">
        <is>
          <t>熔岩护甲</t>
        </is>
      </c>
      <c r="C52" s="2" t="inlineStr">
        <is>
          <t>凡品</t>
        </is>
      </c>
      <c r="D52" s="2" t="inlineStr">
        <is>
          <t>防御功法</t>
        </is>
      </c>
      <c r="E52" s="2" t="n">
        <v>2</v>
      </c>
      <c r="F52" s="2" t="n">
        <v>0</v>
      </c>
      <c r="G52" s="2" t="n">
        <v>10</v>
      </c>
      <c r="H52" s="2" t="n">
        <v>0</v>
      </c>
      <c r="I52" s="2" t="inlineStr">
        <is>
          <t>每有灼烧敌人+2护盾</t>
        </is>
      </c>
      <c r="J52" s="2" t="n">
        <v>14</v>
      </c>
      <c r="K52" s="2" t="inlineStr">
        <is>
          <t>灼烧体系防御回报</t>
        </is>
      </c>
      <c r="L52" s="3" t="inlineStr">
        <is>
          <t>PLACEHOLDER</t>
        </is>
      </c>
    </row>
    <row r="53">
      <c r="A53" s="2" t="inlineStr">
        <is>
          <t>card_fire_ward_01</t>
        </is>
      </c>
      <c r="B53" s="2" t="inlineStr">
        <is>
          <t>火焰结界</t>
        </is>
      </c>
      <c r="C53" s="2" t="inlineStr">
        <is>
          <t>灵品</t>
        </is>
      </c>
      <c r="D53" s="2" t="inlineStr">
        <is>
          <t>防御功法</t>
        </is>
      </c>
      <c r="E53" s="2" t="n">
        <v>2</v>
      </c>
      <c r="F53" s="2" t="n">
        <v>0</v>
      </c>
      <c r="G53" s="2" t="n">
        <v>8</v>
      </c>
      <c r="H53" s="2" t="n">
        <v>0</v>
      </c>
      <c r="I53" s="2" t="inlineStr">
        <is>
          <t>被攻击时施加1层灼烧</t>
        </is>
      </c>
      <c r="J53" s="2" t="n">
        <v>14</v>
      </c>
      <c r="K53" s="2" t="inlineStr">
        <is>
          <t>多敌防御王牌</t>
        </is>
      </c>
      <c r="L53" s="3" t="inlineStr">
        <is>
          <t>PLACEHOLDER</t>
        </is>
      </c>
    </row>
    <row r="54">
      <c r="A54" s="2" t="inlineStr">
        <is>
          <t>card_ash_reborn_01</t>
        </is>
      </c>
      <c r="B54" s="2" t="inlineStr">
        <is>
          <t>灰烬重生</t>
        </is>
      </c>
      <c r="C54" s="2" t="inlineStr">
        <is>
          <t>灵品</t>
        </is>
      </c>
      <c r="D54" s="2" t="inlineStr">
        <is>
          <t>防御功法</t>
        </is>
      </c>
      <c r="E54" s="2" t="n">
        <v>1</v>
      </c>
      <c r="F54" s="2" t="n">
        <v>0</v>
      </c>
      <c r="G54" s="2" t="n">
        <v>0</v>
      </c>
      <c r="H54" s="2" t="n">
        <v>5</v>
      </c>
      <c r="I54" s="2" t="inlineStr">
        <is>
          <t>每有敌人死亡+3回复</t>
        </is>
      </c>
      <c r="J54" s="2" t="n">
        <v>10</v>
      </c>
      <c r="K54" s="2" t="inlineStr">
        <is>
          <t>中后期回复</t>
        </is>
      </c>
      <c r="L54" s="3" t="inlineStr">
        <is>
          <t>PLACEHOLDER</t>
        </is>
      </c>
    </row>
    <row r="55">
      <c r="A55" s="2" t="inlineStr">
        <is>
          <t>card_fire_god_01</t>
        </is>
      </c>
      <c r="B55" s="2" t="inlineStr">
        <is>
          <t>火神护体</t>
        </is>
      </c>
      <c r="C55" s="2" t="inlineStr">
        <is>
          <t>仙品</t>
        </is>
      </c>
      <c r="D55" s="2" t="inlineStr">
        <is>
          <t>防御功法</t>
        </is>
      </c>
      <c r="E55" s="2" t="n">
        <v>3</v>
      </c>
      <c r="F55" s="2" t="n">
        <v>0</v>
      </c>
      <c r="G55" s="2" t="n">
        <v>15</v>
      </c>
      <c r="H55" s="2" t="n">
        <v>0</v>
      </c>
      <c r="I55" s="2" t="inlineStr">
        <is>
          <t>本回合灼烧伤害翻倍</t>
        </is>
      </c>
      <c r="J55" s="2" t="n">
        <v>24</v>
      </c>
      <c r="K55" s="2" t="inlineStr">
        <is>
          <t>攻防一体</t>
        </is>
      </c>
      <c r="L55" s="3" t="inlineStr">
        <is>
          <t>PLACEHOLDER</t>
        </is>
      </c>
    </row>
    <row r="56">
      <c r="A56" s="2" t="inlineStr">
        <is>
          <t>card_eternal_flame_01</t>
        </is>
      </c>
      <c r="B56" s="2" t="inlineStr">
        <is>
          <t>不灭炎魂</t>
        </is>
      </c>
      <c r="C56" s="2" t="inlineStr">
        <is>
          <t>圣品</t>
        </is>
      </c>
      <c r="D56" s="2" t="inlineStr">
        <is>
          <t>防御功法</t>
        </is>
      </c>
      <c r="E56" s="2" t="n">
        <v>3</v>
      </c>
      <c r="F56" s="2" t="n">
        <v>0</v>
      </c>
      <c r="G56" s="2" t="n">
        <v>0</v>
      </c>
      <c r="H56" s="2" t="n">
        <v>0</v>
      </c>
      <c r="I56" s="2" t="inlineStr">
        <is>
          <t>免疫致命伤害2次+消耗</t>
        </is>
      </c>
      <c r="J56" s="2" t="n">
        <v>35</v>
      </c>
      <c r="K56" s="2" t="inlineStr">
        <is>
          <t>不死保障</t>
        </is>
      </c>
      <c r="L56" s="3" t="inlineStr">
        <is>
          <t>PLACEHOLDER</t>
        </is>
      </c>
    </row>
    <row r="57">
      <c r="A57" s="2" t="inlineStr">
        <is>
          <t>card_fire_escape_01</t>
        </is>
      </c>
      <c r="B57" s="2" t="inlineStr">
        <is>
          <t>火遁</t>
        </is>
      </c>
      <c r="C57" s="2" t="inlineStr">
        <is>
          <t>凡品</t>
        </is>
      </c>
      <c r="D57" s="2" t="inlineStr">
        <is>
          <t>身法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inlineStr">
        <is>
          <t>抽2张+自伤2</t>
        </is>
      </c>
      <c r="J57" s="2" t="n">
        <v>6</v>
      </c>
      <c r="K57" s="2" t="inlineStr">
        <is>
          <t>HP换过牌</t>
        </is>
      </c>
      <c r="L57" s="3" t="inlineStr">
        <is>
          <t>PLACEHOLDER</t>
        </is>
      </c>
    </row>
    <row r="58">
      <c r="A58" s="2" t="inlineStr">
        <is>
          <t>card_fire_sprint_01</t>
        </is>
      </c>
      <c r="B58" s="2" t="inlineStr">
        <is>
          <t>烈焰疾走</t>
        </is>
      </c>
      <c r="C58" s="2" t="inlineStr">
        <is>
          <t>灵品</t>
        </is>
      </c>
      <c r="D58" s="2" t="inlineStr">
        <is>
          <t>身法</t>
        </is>
      </c>
      <c r="E58" s="2" t="n">
        <v>1</v>
      </c>
      <c r="F58" s="2" t="n">
        <v>0</v>
      </c>
      <c r="G58" s="2" t="n">
        <v>3</v>
      </c>
      <c r="H58" s="2" t="n">
        <v>0</v>
      </c>
      <c r="I58" s="2" t="inlineStr">
        <is>
          <t>灼烧1层+抽1</t>
        </is>
      </c>
      <c r="J58" s="2" t="n">
        <v>11</v>
      </c>
      <c r="K58" s="2" t="inlineStr">
        <is>
          <t>火云宗全能身法</t>
        </is>
      </c>
      <c r="L58" s="3" t="inlineStr">
        <is>
          <t>PLACEHOLDER</t>
        </is>
      </c>
    </row>
    <row r="59">
      <c r="A59" s="2" t="inlineStr">
        <is>
          <t>card_fire_chestnut_01</t>
        </is>
      </c>
      <c r="B59" s="2" t="inlineStr">
        <is>
          <t>火中取栗</t>
        </is>
      </c>
      <c r="C59" s="2" t="inlineStr">
        <is>
          <t>灵品</t>
        </is>
      </c>
      <c r="D59" s="2" t="inlineStr">
        <is>
          <t>身法</t>
        </is>
      </c>
      <c r="E59" s="2" t="n">
        <v>1</v>
      </c>
      <c r="F59" s="2" t="n">
        <v>0</v>
      </c>
      <c r="G59" s="2" t="n">
        <v>0</v>
      </c>
      <c r="H59" s="2" t="n">
        <v>0</v>
      </c>
      <c r="I59" s="2" t="inlineStr">
        <is>
          <t>回收1张火系牌灵力-1</t>
        </is>
      </c>
      <c r="J59" s="2" t="n">
        <v>12</v>
      </c>
      <c r="K59" s="2" t="inlineStr">
        <is>
          <t>回收关键牌</t>
        </is>
      </c>
      <c r="L59" s="3" t="inlineStr">
        <is>
          <t>PLACEHOLDER</t>
        </is>
      </c>
    </row>
    <row r="60">
      <c r="A60" s="2" t="inlineStr">
        <is>
          <t>card_sky_fire_step_01</t>
        </is>
      </c>
      <c r="B60" s="2" t="inlineStr">
        <is>
          <t>天火遁法</t>
        </is>
      </c>
      <c r="C60" s="2" t="inlineStr">
        <is>
          <t>仙品</t>
        </is>
      </c>
      <c r="D60" s="2" t="inlineStr">
        <is>
          <t>身法</t>
        </is>
      </c>
      <c r="E60" s="2" t="n">
        <v>2</v>
      </c>
      <c r="F60" s="2" t="n">
        <v>0</v>
      </c>
      <c r="G60" s="2" t="n">
        <v>0</v>
      </c>
      <c r="H60" s="2" t="n">
        <v>0</v>
      </c>
      <c r="I60" s="2" t="inlineStr">
        <is>
          <t>2次闪避+反伤灼烧2层</t>
        </is>
      </c>
      <c r="J60" s="2" t="n">
        <v>24</v>
      </c>
      <c r="K60" s="2" t="inlineStr">
        <is>
          <t>高闪避+灼烧反击</t>
        </is>
      </c>
      <c r="L60" s="3" t="inlineStr">
        <is>
          <t>PLACEHOLDER</t>
        </is>
      </c>
    </row>
    <row r="61">
      <c r="A61" s="2" t="inlineStr">
        <is>
          <t>card_flame_boost_01</t>
        </is>
      </c>
      <c r="B61" s="2" t="inlineStr">
        <is>
          <t>火焰增幅</t>
        </is>
      </c>
      <c r="C61" s="2" t="inlineStr">
        <is>
          <t>灵品</t>
        </is>
      </c>
      <c r="D61" s="2" t="inlineStr">
        <is>
          <t>秘术</t>
        </is>
      </c>
      <c r="E61" s="2" t="n">
        <v>1</v>
      </c>
      <c r="F61" s="2" t="n">
        <v>0</v>
      </c>
      <c r="G61" s="2" t="n">
        <v>0</v>
      </c>
      <c r="H61" s="2" t="n">
        <v>0</v>
      </c>
      <c r="I61" s="2" t="inlineStr">
        <is>
          <t>本回合灼烧伤害+1/层+消耗</t>
        </is>
      </c>
      <c r="J61" s="2" t="n">
        <v>12</v>
      </c>
      <c r="K61" s="2" t="inlineStr">
        <is>
          <t>灼烧强化</t>
        </is>
      </c>
      <c r="L61" s="3" t="inlineStr">
        <is>
          <t>PLACEHOLDER</t>
        </is>
      </c>
    </row>
    <row r="62">
      <c r="A62" s="2" t="inlineStr">
        <is>
          <t>card_heart_fire_01</t>
        </is>
      </c>
      <c r="B62" s="2" t="inlineStr">
        <is>
          <t>心火相传</t>
        </is>
      </c>
      <c r="C62" s="2" t="inlineStr">
        <is>
          <t>仙品</t>
        </is>
      </c>
      <c r="D62" s="2" t="inlineStr">
        <is>
          <t>秘术</t>
        </is>
      </c>
      <c r="E62" s="2" t="n">
        <v>2</v>
      </c>
      <c r="F62" s="2" t="n">
        <v>0</v>
      </c>
      <c r="G62" s="2" t="n">
        <v>0</v>
      </c>
      <c r="H62" s="2" t="n">
        <v>0</v>
      </c>
      <c r="I62" s="2" t="inlineStr">
        <is>
          <t>永久灼烧+1层+消耗</t>
        </is>
      </c>
      <c r="J62" s="2" t="n">
        <v>18</v>
      </c>
      <c r="K62" s="2" t="inlineStr">
        <is>
          <t>灼烧引擎</t>
        </is>
      </c>
      <c r="L62" s="3" t="inlineStr">
        <is>
          <t>PLACEHOLDER</t>
        </is>
      </c>
    </row>
    <row r="63">
      <c r="A63" s="2" t="inlineStr">
        <is>
          <t>card_karma_fire_01</t>
        </is>
      </c>
      <c r="B63" s="2" t="inlineStr">
        <is>
          <t>业火红莲</t>
        </is>
      </c>
      <c r="C63" s="2" t="inlineStr">
        <is>
          <t>圣品</t>
        </is>
      </c>
      <c r="D63" s="2" t="inlineStr">
        <is>
          <t>秘术</t>
        </is>
      </c>
      <c r="E63" s="2" t="n">
        <v>4</v>
      </c>
      <c r="F63" s="2" t="n">
        <v>0</v>
      </c>
      <c r="G63" s="2" t="n">
        <v>0</v>
      </c>
      <c r="H63" s="2" t="n">
        <v>0</v>
      </c>
      <c r="I63" s="2" t="inlineStr">
        <is>
          <t>三选一Run定义强化+消耗</t>
        </is>
      </c>
      <c r="J63" s="2" t="n">
        <v>35</v>
      </c>
      <c r="K63" s="2" t="inlineStr">
        <is>
          <t>Run定义级秘术</t>
        </is>
      </c>
      <c r="L63" s="3" t="inlineStr">
        <is>
          <t>PLACEHOLDER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2" customWidth="1" min="4" max="4"/>
    <col width="23" customWidth="1" min="5" max="5"/>
  </cols>
  <sheetData>
    <row r="1">
      <c r="A1" s="1" t="inlineStr">
        <is>
          <t>效果类型</t>
        </is>
      </c>
      <c r="B1" s="1" t="inlineStr">
        <is>
          <t>灵力价值</t>
        </is>
      </c>
      <c r="C1" s="1" t="inlineStr">
        <is>
          <t>每灵力产出</t>
        </is>
      </c>
      <c r="D1" s="1" t="inlineStr">
        <is>
          <t>基准说明</t>
        </is>
      </c>
      <c r="E1" s="1" t="inlineStr">
        <is>
          <t>调优备注</t>
        </is>
      </c>
    </row>
    <row r="2">
      <c r="A2" s="2" t="inlineStr">
        <is>
          <t>直接伤害(1点)</t>
        </is>
      </c>
      <c r="B2" s="2">
        <f>1/8</f>
        <v/>
      </c>
      <c r="C2" s="2" t="n">
        <v>8</v>
      </c>
      <c r="D2" s="2" t="inlineStr">
        <is>
          <t>1灵力=8伤害 —— 最基础换算</t>
        </is>
      </c>
      <c r="E2" s="2" t="inlineStr">
        <is>
          <t>攻击牌定价基准</t>
        </is>
      </c>
    </row>
    <row r="3">
      <c r="A3" s="2" t="inlineStr">
        <is>
          <t>护盾(1点)</t>
        </is>
      </c>
      <c r="B3" s="2">
        <f>1/8</f>
        <v/>
      </c>
      <c r="C3" s="2" t="n">
        <v>8</v>
      </c>
      <c r="D3" s="2" t="inlineStr">
        <is>
          <t>1灵力=8护盾 —— 与伤害对称</t>
        </is>
      </c>
      <c r="E3" s="2" t="inlineStr">
        <is>
          <t>护盾回合开始清0，价值略低于伤害</t>
        </is>
      </c>
    </row>
    <row r="4">
      <c r="A4" s="2" t="inlineStr">
        <is>
          <t>HP回复(1点)</t>
        </is>
      </c>
      <c r="B4" s="2">
        <f>1/6</f>
        <v/>
      </c>
      <c r="C4" s="2" t="n">
        <v>6</v>
      </c>
      <c r="D4" s="2" t="inlineStr">
        <is>
          <t>1灵力=6回复 —— 持久资源溢价</t>
        </is>
      </c>
      <c r="E4" s="2" t="inlineStr">
        <is>
          <t>回复可跨回合保留，价值高于单回合护盾</t>
        </is>
      </c>
    </row>
    <row r="5">
      <c r="A5" s="2" t="inlineStr">
        <is>
          <t>破防1层(2回合)</t>
        </is>
      </c>
      <c r="B5" s="2" t="n">
        <v>4</v>
      </c>
      <c r="C5" s="2" t="n">
        <v>0.25</v>
      </c>
      <c r="D5" s="2" t="inlineStr">
        <is>
          <t>约0.5灵力 —— 放大后续攻击</t>
        </is>
      </c>
      <c r="E5" s="2" t="inlineStr">
        <is>
          <t>情境价值，高攻击牌组中价值更高</t>
        </is>
      </c>
    </row>
    <row r="6">
      <c r="A6" s="2" t="inlineStr">
        <is>
          <t>灼烧1层(3回合)</t>
        </is>
      </c>
      <c r="B6" s="2" t="n">
        <v>8</v>
      </c>
      <c r="C6" s="2" t="n">
        <v>0.125</v>
      </c>
      <c r="D6" s="2" t="inlineStr">
        <is>
          <t>约1灵力 —— 总伤高但延迟</t>
        </is>
      </c>
      <c r="E6" s="2" t="inlineStr">
        <is>
          <t>3回合总伤=3×3=9，略高于1灵力基准</t>
        </is>
      </c>
    </row>
    <row r="7">
      <c r="A7" s="2" t="inlineStr">
        <is>
          <t>冰冻1层(2回合)</t>
        </is>
      </c>
      <c r="B7" s="2" t="n">
        <v>12</v>
      </c>
      <c r="C7" s="2" t="n">
        <v>0.083</v>
      </c>
      <c r="D7" s="2" t="inlineStr">
        <is>
          <t>约1.5灵力 —— 控制极强</t>
        </is>
      </c>
      <c r="E7" s="2" t="inlineStr">
        <is>
          <t>减少敌人灵力=同时削弱攻防，需谨慎定价</t>
        </is>
      </c>
    </row>
    <row r="8">
      <c r="A8" s="2" t="inlineStr">
        <is>
          <t>中毒1层(永久)</t>
        </is>
      </c>
      <c r="B8" s="2" t="n">
        <v>6</v>
      </c>
      <c r="C8" s="2" t="n">
        <v>0.167</v>
      </c>
      <c r="D8" s="2" t="inlineStr">
        <is>
          <t>约0.75灵力/层 —— 指数增长风险</t>
        </is>
      </c>
      <c r="E8" s="2" t="inlineStr">
        <is>
          <t>10层=55总伤，需上限控制</t>
        </is>
      </c>
    </row>
    <row r="9">
      <c r="A9" s="2" t="inlineStr">
        <is>
          <t>抽1张牌</t>
        </is>
      </c>
      <c r="B9" s="2" t="n">
        <v>4</v>
      </c>
      <c r="C9" s="2" t="n">
        <v>0.25</v>
      </c>
      <c r="D9" s="2" t="inlineStr">
        <is>
          <t>约0.5灵力 —— 加速循环</t>
        </is>
      </c>
      <c r="E9" s="2" t="inlineStr">
        <is>
          <t>牌库越小价值越高</t>
        </is>
      </c>
    </row>
    <row r="10">
      <c r="A10" s="2" t="inlineStr">
        <is>
          <t>额外获得1灵力</t>
        </is>
      </c>
      <c r="B10" s="2" t="n">
        <v>12</v>
      </c>
      <c r="C10" s="2" t="n">
        <v>0.083</v>
      </c>
      <c r="D10" s="2" t="inlineStr">
        <is>
          <t>约1.5灵力 —— 经济操控溢价</t>
        </is>
      </c>
      <c r="E10" s="2" t="inlineStr">
        <is>
          <t>经济操控永远贵于直接效果</t>
        </is>
      </c>
    </row>
    <row r="11">
      <c r="A11" s="2" t="inlineStr">
        <is>
          <t>眩晕1回合</t>
        </is>
      </c>
      <c r="B11" s="2" t="n">
        <v>16</v>
      </c>
      <c r="C11" s="2" t="n">
        <v>0.063</v>
      </c>
      <c r="D11" s="2" t="inlineStr">
        <is>
          <t>约2灵力 —— 跳过敌人整回合</t>
        </is>
      </c>
      <c r="E11" s="2" t="inlineStr">
        <is>
          <t>极高价值，需稀有度限制</t>
        </is>
      </c>
    </row>
    <row r="12">
      <c r="A12" s="2" t="inlineStr">
        <is>
          <t>闪避1次</t>
        </is>
      </c>
      <c r="B12" s="2" t="n">
        <v>8</v>
      </c>
      <c r="C12" s="2" t="n">
        <v>0.125</v>
      </c>
      <c r="D12" s="2" t="inlineStr">
        <is>
          <t>约1灵力 —— 免疫1次伤害</t>
        </is>
      </c>
      <c r="E12" s="2" t="inlineStr">
        <is>
          <t>对高伤害攻击价值极高</t>
        </is>
      </c>
    </row>
    <row r="13">
      <c r="A13" s="2" t="inlineStr">
        <is>
          <t>力量+25%(3回合)</t>
        </is>
      </c>
      <c r="B13" s="2" t="n">
        <v>12</v>
      </c>
      <c r="C13" s="2" t="n">
        <v>0.083</v>
      </c>
      <c r="D13" s="2" t="inlineStr">
        <is>
          <t>约1.5灵力 —— 放大后续输出</t>
        </is>
      </c>
      <c r="E13" s="2" t="inlineStr">
        <is>
          <t>价值随基础力量增长</t>
        </is>
      </c>
    </row>
    <row r="14">
      <c r="A14" s="2" t="inlineStr">
        <is>
          <t>防御+3(永久)</t>
        </is>
      </c>
      <c r="B14" s="2" t="n">
        <v>6</v>
      </c>
      <c r="C14" s="2" t="n">
        <v>0.5</v>
      </c>
      <c r="D14" s="2" t="inlineStr">
        <is>
          <t>约0.75灵力 —— 永久减伤</t>
        </is>
      </c>
      <c r="E14" s="2" t="inlineStr">
        <is>
          <t>每次受伤都生效，累积价值高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0" customWidth="1" min="7" max="7"/>
    <col width="24" customWidth="1" min="8" max="8"/>
    <col width="10" customWidth="1" min="9" max="9"/>
    <col width="10" customWidth="1" min="10" max="10"/>
    <col width="11" customWidth="1" min="11" max="11"/>
    <col width="10" customWidth="1" min="12" max="12"/>
    <col width="25" customWidth="1" min="13" max="13"/>
    <col width="10" customWidth="1" min="14" max="14"/>
  </cols>
  <sheetData>
    <row r="1">
      <c r="A1" s="1" t="inlineStr">
        <is>
          <t>境界</t>
        </is>
      </c>
      <c r="B1" s="1" t="inlineStr">
        <is>
          <t>敌人类型</t>
        </is>
      </c>
      <c r="C1" s="1" t="inlineStr">
        <is>
          <t>HP_min</t>
        </is>
      </c>
      <c r="D1" s="1" t="inlineStr">
        <is>
          <t>HP_max</t>
        </is>
      </c>
      <c r="E1" s="1" t="inlineStr">
        <is>
          <t>HP_avg</t>
        </is>
      </c>
      <c r="F1" s="1" t="inlineStr">
        <is>
          <t>伤害_min</t>
        </is>
      </c>
      <c r="G1" s="1" t="inlineStr">
        <is>
          <t>伤害_max</t>
        </is>
      </c>
      <c r="H1" s="1" t="inlineStr">
        <is>
          <t>伤害_avg</t>
        </is>
      </c>
      <c r="I1" s="1" t="inlineStr">
        <is>
          <t>防御</t>
        </is>
      </c>
      <c r="J1" s="1" t="inlineStr">
        <is>
          <t>灵力/回合</t>
        </is>
      </c>
      <c r="K1" s="1" t="inlineStr">
        <is>
          <t>特殊能力</t>
        </is>
      </c>
      <c r="L1" s="1" t="inlineStr">
        <is>
          <t>意图模式</t>
        </is>
      </c>
      <c r="M1" s="1" t="inlineStr">
        <is>
          <t>掉落灵石</t>
        </is>
      </c>
      <c r="N1" s="1" t="inlineStr">
        <is>
          <t>掉落稀有度</t>
        </is>
      </c>
    </row>
    <row r="2">
      <c r="A2" s="2" t="inlineStr">
        <is>
          <t>炼气期</t>
        </is>
      </c>
      <c r="B2" s="2" t="inlineStr">
        <is>
          <t>普通</t>
        </is>
      </c>
      <c r="C2" s="2" t="n">
        <v>30</v>
      </c>
      <c r="D2" s="2" t="n">
        <v>50</v>
      </c>
      <c r="E2" s="2">
        <f>ROUND((C2+D2)/2,0)</f>
        <v/>
      </c>
      <c r="F2" s="2" t="n">
        <v>5</v>
      </c>
      <c r="G2" s="2" t="n">
        <v>8</v>
      </c>
      <c r="H2" s="2">
        <f>ROUND((F2+G2)/2,0)</f>
        <v/>
      </c>
      <c r="I2" s="2" t="n">
        <v>0</v>
      </c>
      <c r="J2" s="2" t="n">
        <v>3</v>
      </c>
      <c r="K2" s="2" t="inlineStr">
        <is>
          <t>无</t>
        </is>
      </c>
      <c r="L2" s="2" t="inlineStr">
        <is>
          <t>激进型</t>
        </is>
      </c>
      <c r="M2" s="2">
        <f>ROUND(RAND()*10+10,0)</f>
        <v/>
      </c>
      <c r="N2" s="2" t="inlineStr">
        <is>
          <t>凡品</t>
        </is>
      </c>
    </row>
    <row r="3">
      <c r="A3" s="2" t="inlineStr">
        <is>
          <t>炼气期</t>
        </is>
      </c>
      <c r="B3" s="2" t="inlineStr">
        <is>
          <t>精英</t>
        </is>
      </c>
      <c r="C3" s="2" t="n">
        <v>50</v>
      </c>
      <c r="D3" s="2" t="n">
        <v>70</v>
      </c>
      <c r="E3" s="2">
        <f>ROUND((C3+D3)/2,0)</f>
        <v/>
      </c>
      <c r="F3" s="2" t="n">
        <v>8</v>
      </c>
      <c r="G3" s="2" t="n">
        <v>12</v>
      </c>
      <c r="H3" s="2">
        <f>ROUND((F3+G3)/2,0)</f>
        <v/>
      </c>
      <c r="I3" s="2" t="n">
        <v>2</v>
      </c>
      <c r="J3" s="2" t="n">
        <v>3</v>
      </c>
      <c r="K3" s="2" t="inlineStr">
        <is>
          <t>无</t>
        </is>
      </c>
      <c r="L3" s="2" t="inlineStr">
        <is>
          <t>激进型</t>
        </is>
      </c>
      <c r="M3" s="2">
        <f>ROUND(RAND()*10+20,0)</f>
        <v/>
      </c>
      <c r="N3" s="2" t="inlineStr">
        <is>
          <t>灵品</t>
        </is>
      </c>
    </row>
    <row r="4">
      <c r="A4" s="2" t="inlineStr">
        <is>
          <t>炼气期</t>
        </is>
      </c>
      <c r="B4" s="2" t="inlineStr">
        <is>
          <t>Boss</t>
        </is>
      </c>
      <c r="C4" s="2" t="n">
        <v>100</v>
      </c>
      <c r="D4" s="2" t="n">
        <v>150</v>
      </c>
      <c r="E4" s="2">
        <f>ROUND((C4+D4)/2,0)</f>
        <v/>
      </c>
      <c r="F4" s="2" t="n">
        <v>10</v>
      </c>
      <c r="G4" s="2" t="n">
        <v>15</v>
      </c>
      <c r="H4" s="2">
        <f>ROUND((F4+G4)/2,0)</f>
        <v/>
      </c>
      <c r="I4" s="2" t="n">
        <v>3</v>
      </c>
      <c r="J4" s="2" t="n">
        <v>3</v>
      </c>
      <c r="K4" s="2" t="inlineStr">
        <is>
          <t>每3回合蓄力攻击</t>
        </is>
      </c>
      <c r="L4" s="2" t="inlineStr">
        <is>
          <t>混合型</t>
        </is>
      </c>
      <c r="M4" s="2">
        <f>ROUND(RAND()*10+35,0)</f>
        <v/>
      </c>
      <c r="N4" s="2" t="inlineStr">
        <is>
          <t>灵品</t>
        </is>
      </c>
    </row>
    <row r="5">
      <c r="A5" s="2" t="inlineStr">
        <is>
          <t>筑基期</t>
        </is>
      </c>
      <c r="B5" s="2" t="inlineStr">
        <is>
          <t>普通</t>
        </is>
      </c>
      <c r="C5" s="2" t="n">
        <v>50</v>
      </c>
      <c r="D5" s="2" t="n">
        <v>80</v>
      </c>
      <c r="E5" s="2">
        <f>ROUND((C5+D5)/2,0)</f>
        <v/>
      </c>
      <c r="F5" s="2" t="n">
        <v>8</v>
      </c>
      <c r="G5" s="2" t="n">
        <v>12</v>
      </c>
      <c r="H5" s="2">
        <f>ROUND((F5+G5)/2,0)</f>
        <v/>
      </c>
      <c r="I5" s="2" t="n">
        <v>2</v>
      </c>
      <c r="J5" s="2" t="n">
        <v>4</v>
      </c>
      <c r="K5" s="2" t="inlineStr">
        <is>
          <t>可能带灼烧</t>
        </is>
      </c>
      <c r="L5" s="2" t="inlineStr">
        <is>
          <t>激进/防守</t>
        </is>
      </c>
      <c r="M5" s="2">
        <f>ROUND(RAND()*10+15,0)</f>
        <v/>
      </c>
      <c r="N5" s="2" t="inlineStr">
        <is>
          <t>凡品/灵品</t>
        </is>
      </c>
    </row>
    <row r="6">
      <c r="A6" s="2" t="inlineStr">
        <is>
          <t>筑基期</t>
        </is>
      </c>
      <c r="B6" s="2" t="inlineStr">
        <is>
          <t>精英</t>
        </is>
      </c>
      <c r="C6" s="2" t="n">
        <v>80</v>
      </c>
      <c r="D6" s="2" t="n">
        <v>110</v>
      </c>
      <c r="E6" s="2">
        <f>ROUND((C6+D6)/2,0)</f>
        <v/>
      </c>
      <c r="F6" s="2" t="n">
        <v>12</v>
      </c>
      <c r="G6" s="2" t="n">
        <v>18</v>
      </c>
      <c r="H6" s="2">
        <f>ROUND((F6+G6)/2,0)</f>
        <v/>
      </c>
      <c r="I6" s="2" t="n">
        <v>4</v>
      </c>
      <c r="J6" s="2" t="n">
        <v>4</v>
      </c>
      <c r="K6" s="2" t="inlineStr">
        <is>
          <t>可能带冰冻</t>
        </is>
      </c>
      <c r="L6" s="2" t="inlineStr">
        <is>
          <t>控制型</t>
        </is>
      </c>
      <c r="M6" s="2">
        <f>ROUND(RAND()*10+25,0)</f>
        <v/>
      </c>
      <c r="N6" s="2" t="inlineStr">
        <is>
          <t>灵品</t>
        </is>
      </c>
    </row>
    <row r="7">
      <c r="A7" s="2" t="inlineStr">
        <is>
          <t>筑基期</t>
        </is>
      </c>
      <c r="B7" s="2" t="inlineStr">
        <is>
          <t>Boss</t>
        </is>
      </c>
      <c r="C7" s="2" t="n">
        <v>150</v>
      </c>
      <c r="D7" s="2" t="n">
        <v>220</v>
      </c>
      <c r="E7" s="2">
        <f>ROUND((C7+D7)/2,0)</f>
        <v/>
      </c>
      <c r="F7" s="2" t="n">
        <v>15</v>
      </c>
      <c r="G7" s="2" t="n">
        <v>22</v>
      </c>
      <c r="H7" s="2">
        <f>ROUND((F7+G7)/2,0)</f>
        <v/>
      </c>
      <c r="I7" s="2" t="n">
        <v>5</v>
      </c>
      <c r="J7" s="2" t="n">
        <v>4</v>
      </c>
      <c r="K7" s="2" t="inlineStr">
        <is>
          <t>天劫规则</t>
        </is>
      </c>
      <c r="L7" s="2" t="inlineStr">
        <is>
          <t>混合型</t>
        </is>
      </c>
      <c r="M7" s="2">
        <f>ROUND(RAND()*10+45,0)</f>
        <v/>
      </c>
      <c r="N7" s="2" t="inlineStr">
        <is>
          <t>灵品/仙品</t>
        </is>
      </c>
    </row>
    <row r="8">
      <c r="A8" s="2" t="inlineStr">
        <is>
          <t>金丹期</t>
        </is>
      </c>
      <c r="B8" s="2" t="inlineStr">
        <is>
          <t>普通</t>
        </is>
      </c>
      <c r="C8" s="2" t="n">
        <v>80</v>
      </c>
      <c r="D8" s="2" t="n">
        <v>120</v>
      </c>
      <c r="E8" s="2">
        <f>ROUND((C8+D8)/2,0)</f>
        <v/>
      </c>
      <c r="F8" s="2" t="n">
        <v>12</v>
      </c>
      <c r="G8" s="2" t="n">
        <v>18</v>
      </c>
      <c r="H8" s="2">
        <f>ROUND((F8+G8)/2,0)</f>
        <v/>
      </c>
      <c r="I8" s="2" t="n">
        <v>4</v>
      </c>
      <c r="J8" s="2" t="n">
        <v>5</v>
      </c>
      <c r="K8" s="2" t="inlineStr">
        <is>
          <t>可能带破防</t>
        </is>
      </c>
      <c r="L8" s="2" t="inlineStr">
        <is>
          <t>多种</t>
        </is>
      </c>
      <c r="M8" s="2">
        <f>ROUND(RAND()*10+20,0)</f>
        <v/>
      </c>
      <c r="N8" s="2" t="inlineStr">
        <is>
          <t>灵品</t>
        </is>
      </c>
    </row>
    <row r="9">
      <c r="A9" s="2" t="inlineStr">
        <is>
          <t>金丹期</t>
        </is>
      </c>
      <c r="B9" s="2" t="inlineStr">
        <is>
          <t>精英</t>
        </is>
      </c>
      <c r="C9" s="2" t="n">
        <v>120</v>
      </c>
      <c r="D9" s="2" t="n">
        <v>170</v>
      </c>
      <c r="E9" s="2">
        <f>ROUND((C9+D9)/2,0)</f>
        <v/>
      </c>
      <c r="F9" s="2" t="n">
        <v>18</v>
      </c>
      <c r="G9" s="2" t="n">
        <v>25</v>
      </c>
      <c r="H9" s="2">
        <f>ROUND((F9+G9)/2,0)</f>
        <v/>
      </c>
      <c r="I9" s="2" t="n">
        <v>6</v>
      </c>
      <c r="J9" s="2" t="n">
        <v>5</v>
      </c>
      <c r="K9" s="2" t="inlineStr">
        <is>
          <t>可能召唤</t>
        </is>
      </c>
      <c r="L9" s="2" t="inlineStr">
        <is>
          <t>召唤型</t>
        </is>
      </c>
      <c r="M9" s="2">
        <f>ROUND(RAND()*10+30,0)</f>
        <v/>
      </c>
      <c r="N9" s="2" t="inlineStr">
        <is>
          <t>仙品</t>
        </is>
      </c>
    </row>
    <row r="10">
      <c r="A10" s="2" t="inlineStr">
        <is>
          <t>金丹期</t>
        </is>
      </c>
      <c r="B10" s="2" t="inlineStr">
        <is>
          <t>Boss</t>
        </is>
      </c>
      <c r="C10" s="2" t="n">
        <v>220</v>
      </c>
      <c r="D10" s="2" t="n">
        <v>320</v>
      </c>
      <c r="E10" s="2">
        <f>ROUND((C10+D10)/2,0)</f>
        <v/>
      </c>
      <c r="F10" s="2" t="n">
        <v>22</v>
      </c>
      <c r="G10" s="2" t="n">
        <v>32</v>
      </c>
      <c r="H10" s="2">
        <f>ROUND((F10+G10)/2,0)</f>
        <v/>
      </c>
      <c r="I10" s="2" t="n">
        <v>8</v>
      </c>
      <c r="J10" s="2" t="n">
        <v>5</v>
      </c>
      <c r="K10" s="2" t="inlineStr">
        <is>
          <t>天劫规则</t>
        </is>
      </c>
      <c r="L10" s="2" t="inlineStr">
        <is>
          <t>混合型</t>
        </is>
      </c>
      <c r="M10" s="2">
        <f>ROUND(RAND()*10+55,0)</f>
        <v/>
      </c>
      <c r="N10" s="2" t="inlineStr">
        <is>
          <t>仙品</t>
        </is>
      </c>
    </row>
    <row r="11">
      <c r="A11" s="2" t="inlineStr">
        <is>
          <t>元婴期</t>
        </is>
      </c>
      <c r="B11" s="2" t="inlineStr">
        <is>
          <t>普通</t>
        </is>
      </c>
      <c r="C11" s="2" t="n">
        <v>120</v>
      </c>
      <c r="D11" s="2" t="n">
        <v>180</v>
      </c>
      <c r="E11" s="2">
        <f>ROUND((C11+D11)/2,0)</f>
        <v/>
      </c>
      <c r="F11" s="2" t="n">
        <v>18</v>
      </c>
      <c r="G11" s="2" t="n">
        <v>25</v>
      </c>
      <c r="H11" s="2">
        <f>ROUND((F11+G11)/2,0)</f>
        <v/>
      </c>
      <c r="I11" s="2" t="n">
        <v>6</v>
      </c>
      <c r="J11" s="2" t="n">
        <v>6</v>
      </c>
      <c r="K11" s="2" t="inlineStr">
        <is>
          <t>多种</t>
        </is>
      </c>
      <c r="L11" s="2" t="inlineStr">
        <is>
          <t>多种</t>
        </is>
      </c>
      <c r="M11" s="2">
        <f>ROUND(RAND()*10+25,0)</f>
        <v/>
      </c>
      <c r="N11" s="2" t="inlineStr">
        <is>
          <t>灵品/仙品</t>
        </is>
      </c>
    </row>
    <row r="12">
      <c r="A12" s="2" t="inlineStr">
        <is>
          <t>元婴期</t>
        </is>
      </c>
      <c r="B12" s="2" t="inlineStr">
        <is>
          <t>精英</t>
        </is>
      </c>
      <c r="C12" s="2" t="n">
        <v>180</v>
      </c>
      <c r="D12" s="2" t="n">
        <v>250</v>
      </c>
      <c r="E12" s="2">
        <f>ROUND((C12+D12)/2,0)</f>
        <v/>
      </c>
      <c r="F12" s="2" t="n">
        <v>25</v>
      </c>
      <c r="G12" s="2" t="n">
        <v>35</v>
      </c>
      <c r="H12" s="2">
        <f>ROUND((F12+G12)/2,0)</f>
        <v/>
      </c>
      <c r="I12" s="2" t="n">
        <v>8</v>
      </c>
      <c r="J12" s="2" t="n">
        <v>6</v>
      </c>
      <c r="K12" s="2" t="inlineStr">
        <is>
          <t>多种</t>
        </is>
      </c>
      <c r="L12" s="2" t="inlineStr">
        <is>
          <t>多种</t>
        </is>
      </c>
      <c r="M12" s="2">
        <f>ROUND(RAND()*10+35,0)</f>
        <v/>
      </c>
      <c r="N12" s="2" t="inlineStr">
        <is>
          <t>仙品</t>
        </is>
      </c>
    </row>
    <row r="13">
      <c r="A13" s="2" t="inlineStr">
        <is>
          <t>元婴期</t>
        </is>
      </c>
      <c r="B13" s="2" t="inlineStr">
        <is>
          <t>Boss</t>
        </is>
      </c>
      <c r="C13" s="2" t="n">
        <v>320</v>
      </c>
      <c r="D13" s="2" t="n">
        <v>450</v>
      </c>
      <c r="E13" s="2">
        <f>ROUND((C13+D13)/2,0)</f>
        <v/>
      </c>
      <c r="F13" s="2" t="n">
        <v>32</v>
      </c>
      <c r="G13" s="2" t="n">
        <v>45</v>
      </c>
      <c r="H13" s="2">
        <f>ROUND((F13+G13)/2,0)</f>
        <v/>
      </c>
      <c r="I13" s="2" t="n">
        <v>10</v>
      </c>
      <c r="J13" s="2" t="n">
        <v>6</v>
      </c>
      <c r="K13" s="2" t="inlineStr">
        <is>
          <t>天劫规则</t>
        </is>
      </c>
      <c r="L13" s="2" t="inlineStr">
        <is>
          <t>混合型</t>
        </is>
      </c>
      <c r="M13" s="2">
        <f>ROUND(RAND()*10+65,0)</f>
        <v/>
      </c>
      <c r="N13" s="2" t="inlineStr">
        <is>
          <t>仙品/圣品</t>
        </is>
      </c>
    </row>
    <row r="14">
      <c r="A14" s="2" t="inlineStr">
        <is>
          <t>化神期</t>
        </is>
      </c>
      <c r="B14" s="2" t="inlineStr">
        <is>
          <t>普通</t>
        </is>
      </c>
      <c r="C14" s="2" t="n">
        <v>180</v>
      </c>
      <c r="D14" s="2" t="n">
        <v>250</v>
      </c>
      <c r="E14" s="2">
        <f>ROUND((C14+D14)/2,0)</f>
        <v/>
      </c>
      <c r="F14" s="2" t="n">
        <v>25</v>
      </c>
      <c r="G14" s="2" t="n">
        <v>35</v>
      </c>
      <c r="H14" s="2">
        <f>ROUND((F14+G14)/2,0)</f>
        <v/>
      </c>
      <c r="I14" s="2" t="n">
        <v>8</v>
      </c>
      <c r="J14" s="2" t="n">
        <v>7</v>
      </c>
      <c r="K14" s="2" t="inlineStr">
        <is>
          <t>多种</t>
        </is>
      </c>
      <c r="L14" s="2" t="inlineStr">
        <is>
          <t>多种</t>
        </is>
      </c>
      <c r="M14" s="2">
        <f>ROUND(RAND()*10+30,0)</f>
        <v/>
      </c>
      <c r="N14" s="2" t="inlineStr">
        <is>
          <t>仙品</t>
        </is>
      </c>
    </row>
    <row r="15">
      <c r="A15" s="2" t="inlineStr">
        <is>
          <t>化神期</t>
        </is>
      </c>
      <c r="B15" s="2" t="inlineStr">
        <is>
          <t>精英</t>
        </is>
      </c>
      <c r="C15" s="2" t="n">
        <v>250</v>
      </c>
      <c r="D15" s="2" t="n">
        <v>350</v>
      </c>
      <c r="E15" s="2">
        <f>ROUND((C15+D15)/2,0)</f>
        <v/>
      </c>
      <c r="F15" s="2" t="n">
        <v>35</v>
      </c>
      <c r="G15" s="2" t="n">
        <v>48</v>
      </c>
      <c r="H15" s="2">
        <f>ROUND((F15+G15)/2,0)</f>
        <v/>
      </c>
      <c r="I15" s="2" t="n">
        <v>10</v>
      </c>
      <c r="J15" s="2" t="n">
        <v>7</v>
      </c>
      <c r="K15" s="2" t="inlineStr">
        <is>
          <t>多种</t>
        </is>
      </c>
      <c r="L15" s="2" t="inlineStr">
        <is>
          <t>多种</t>
        </is>
      </c>
      <c r="M15" s="2">
        <f>ROUND(RAND()*10+40,0)</f>
        <v/>
      </c>
      <c r="N15" s="2" t="inlineStr">
        <is>
          <t>圣品</t>
        </is>
      </c>
    </row>
    <row r="16">
      <c r="A16" s="2" t="inlineStr">
        <is>
          <t>化神期</t>
        </is>
      </c>
      <c r="B16" s="2" t="inlineStr">
        <is>
          <t>Boss</t>
        </is>
      </c>
      <c r="C16" s="2" t="n">
        <v>450</v>
      </c>
      <c r="D16" s="2" t="n">
        <v>600</v>
      </c>
      <c r="E16" s="2">
        <f>ROUND((C16+D16)/2,0)</f>
        <v/>
      </c>
      <c r="F16" s="2" t="n">
        <v>45</v>
      </c>
      <c r="G16" s="2" t="n">
        <v>60</v>
      </c>
      <c r="H16" s="2">
        <f>ROUND((F16+G16)/2,0)</f>
        <v/>
      </c>
      <c r="I16" s="2" t="n">
        <v>12</v>
      </c>
      <c r="J16" s="2" t="n">
        <v>7</v>
      </c>
      <c r="K16" s="2" t="inlineStr">
        <is>
          <t>天劫规则</t>
        </is>
      </c>
      <c r="L16" s="2" t="inlineStr">
        <is>
          <t>混合型</t>
        </is>
      </c>
      <c r="M16" s="2">
        <f>ROUND(RAND()*10+80,0)</f>
        <v/>
      </c>
      <c r="N16" s="2" t="inlineStr">
        <is>
          <t>圣品/道品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4" customWidth="1" min="4" max="4"/>
    <col width="15" customWidth="1" min="5" max="5"/>
    <col width="11" customWidth="1" min="6" max="6"/>
    <col width="10" customWidth="1" min="7" max="7"/>
    <col width="16" customWidth="1" min="8" max="8"/>
  </cols>
  <sheetData>
    <row r="1">
      <c r="A1" s="1" t="inlineStr">
        <is>
          <t>指标ID</t>
        </is>
      </c>
      <c r="B1" s="1" t="inlineStr">
        <is>
          <t>指标名称</t>
        </is>
      </c>
      <c r="C1" s="1" t="inlineStr">
        <is>
          <t>目标范围</t>
        </is>
      </c>
      <c r="D1" s="1" t="inlineStr">
        <is>
          <t>当前值</t>
        </is>
      </c>
      <c r="E1" s="1" t="inlineStr">
        <is>
          <t>数据来源</t>
        </is>
      </c>
      <c r="F1" s="1" t="inlineStr">
        <is>
          <t>检测方法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inlineStr">
        <is>
          <t>M01</t>
        </is>
      </c>
      <c r="B2" s="2" t="inlineStr">
        <is>
          <t>Run胜率(道心0-新手)</t>
        </is>
      </c>
      <c r="C2" s="2" t="inlineStr">
        <is>
          <t>20-30%</t>
        </is>
      </c>
      <c r="D2" s="3" t="inlineStr">
        <is>
          <t>PLACEHOLDER</t>
        </is>
      </c>
      <c r="E2" s="2" t="inlineStr">
        <is>
          <t>新手前10次Run统计</t>
        </is>
      </c>
      <c r="F2" s="2" t="inlineStr">
        <is>
          <t>分组统计</t>
        </is>
      </c>
      <c r="G2" s="2" t="inlineStr">
        <is>
          <t>⚠️ 待测试</t>
        </is>
      </c>
      <c r="H2" s="2" t="inlineStr">
        <is>
          <t>低于15%需降低前期难度</t>
        </is>
      </c>
    </row>
    <row r="3">
      <c r="A3" s="2" t="inlineStr">
        <is>
          <t>M02</t>
        </is>
      </c>
      <c r="B3" s="2" t="inlineStr">
        <is>
          <t>Run胜率(道心0-高手)</t>
        </is>
      </c>
      <c r="C3" s="2" t="inlineStr">
        <is>
          <t>60-80%</t>
        </is>
      </c>
      <c r="D3" s="3" t="inlineStr">
        <is>
          <t>PLACEHOLDER</t>
        </is>
      </c>
      <c r="E3" s="2" t="inlineStr">
        <is>
          <t>50+Run经验玩家统计</t>
        </is>
      </c>
      <c r="F3" s="2" t="inlineStr">
        <is>
          <t>高道心统计</t>
        </is>
      </c>
      <c r="G3" s="2" t="inlineStr">
        <is>
          <t>⚠️ 待测试</t>
        </is>
      </c>
      <c r="H3" s="2" t="inlineStr">
        <is>
          <t>高于85%需增加难度</t>
        </is>
      </c>
    </row>
    <row r="4">
      <c r="A4" s="2" t="inlineStr">
        <is>
          <t>M03</t>
        </is>
      </c>
      <c r="B4" s="2" t="inlineStr">
        <is>
          <t>跳过率(高级玩家)</t>
        </is>
      </c>
      <c r="C4" s="2" t="inlineStr">
        <is>
          <t>30-50%</t>
        </is>
      </c>
      <c r="D4" s="3" t="inlineStr">
        <is>
          <t>PLACEHOLDER</t>
        </is>
      </c>
      <c r="E4" s="2" t="inlineStr">
        <is>
          <t>道心5+玩家行为</t>
        </is>
      </c>
      <c r="F4" s="2" t="inlineStr">
        <is>
          <t>skip行为统计</t>
        </is>
      </c>
      <c r="G4" s="2" t="inlineStr">
        <is>
          <t>⚠️ 待测试</t>
        </is>
      </c>
      <c r="H4" s="2" t="inlineStr">
        <is>
          <t>&lt;10%说明卡牌都太好</t>
        </is>
      </c>
    </row>
    <row r="5">
      <c r="A5" s="2" t="inlineStr">
        <is>
          <t>M04</t>
        </is>
      </c>
      <c r="B5" s="2" t="inlineStr">
        <is>
          <t>精英挑战率</t>
        </is>
      </c>
      <c r="C5" s="2" t="inlineStr">
        <is>
          <t>40-60%</t>
        </is>
      </c>
      <c r="D5" s="3" t="inlineStr">
        <is>
          <t>PLACEHOLDER</t>
        </is>
      </c>
      <c r="E5" s="2" t="inlineStr">
        <is>
          <t>全玩家路径选择</t>
        </is>
      </c>
      <c r="F5" s="2" t="inlineStr">
        <is>
          <t>路径选择统计</t>
        </is>
      </c>
      <c r="G5" s="2" t="inlineStr">
        <is>
          <t>⚠️ 待测试</t>
        </is>
      </c>
      <c r="H5" s="2" t="inlineStr">
        <is>
          <t>&lt;20%精英不值得打</t>
        </is>
      </c>
    </row>
    <row r="6">
      <c r="A6" s="2" t="inlineStr">
        <is>
          <t>M05</t>
        </is>
      </c>
      <c r="B6" s="2" t="inlineStr">
        <is>
          <t>平均Run时长(分钟)</t>
        </is>
      </c>
      <c r="C6" s="2" t="inlineStr">
        <is>
          <t>30-60</t>
        </is>
      </c>
      <c r="D6" s="3" t="inlineStr">
        <is>
          <t>PLACEHOLDER</t>
        </is>
      </c>
      <c r="E6" s="2" t="inlineStr">
        <is>
          <t>通关Run中位时长</t>
        </is>
      </c>
      <c r="F6" s="2" t="inlineStr">
        <is>
          <t>中位时长统计</t>
        </is>
      </c>
      <c r="G6" s="2" t="inlineStr">
        <is>
          <t>⚠️ 待测试</t>
        </is>
      </c>
      <c r="H6" s="2" t="inlineStr">
        <is>
          <t>&gt;90分钟节奏拖沓</t>
        </is>
      </c>
    </row>
    <row r="7">
      <c r="A7" s="2" t="inlineStr">
        <is>
          <t>M06</t>
        </is>
      </c>
      <c r="B7" s="2" t="inlineStr">
        <is>
          <t>剑宗胜率</t>
        </is>
      </c>
      <c r="C7" s="2" t="inlineStr">
        <is>
          <t>40-60%</t>
        </is>
      </c>
      <c r="D7" s="3" t="inlineStr">
        <is>
          <t>PLACEHOLDER</t>
        </is>
      </c>
      <c r="E7" s="2" t="inlineStr">
        <is>
          <t>门派统计</t>
        </is>
      </c>
      <c r="F7" s="2" t="inlineStr">
        <is>
          <t>胜率分布</t>
        </is>
      </c>
      <c r="G7" s="2" t="inlineStr">
        <is>
          <t>⚠️ 待测试</t>
        </is>
      </c>
      <c r="H7" s="2" t="inlineStr">
        <is>
          <t>超过70%需调整</t>
        </is>
      </c>
    </row>
    <row r="8">
      <c r="A8" s="2" t="inlineStr">
        <is>
          <t>M07</t>
        </is>
      </c>
      <c r="B8" s="2" t="inlineStr">
        <is>
          <t>火云宗胜率</t>
        </is>
      </c>
      <c r="C8" s="2" t="inlineStr">
        <is>
          <t>40-60%</t>
        </is>
      </c>
      <c r="D8" s="3" t="inlineStr">
        <is>
          <t>PLACEHOLDER</t>
        </is>
      </c>
      <c r="E8" s="2" t="inlineStr">
        <is>
          <t>门派统计</t>
        </is>
      </c>
      <c r="F8" s="2" t="inlineStr">
        <is>
          <t>胜率分布</t>
        </is>
      </c>
      <c r="G8" s="2" t="inlineStr">
        <is>
          <t>⚠️ 待测试</t>
        </is>
      </c>
      <c r="H8" s="2" t="inlineStr">
        <is>
          <t>超过70%需调整</t>
        </is>
      </c>
    </row>
    <row r="9">
      <c r="A9" s="2" t="inlineStr">
        <is>
          <t>M08</t>
        </is>
      </c>
      <c r="B9" s="2" t="inlineStr">
        <is>
          <t>药王谷胜率</t>
        </is>
      </c>
      <c r="C9" s="2" t="inlineStr">
        <is>
          <t>40-60%</t>
        </is>
      </c>
      <c r="D9" s="3" t="inlineStr">
        <is>
          <t>PLACEHOLDER</t>
        </is>
      </c>
      <c r="E9" s="2" t="inlineStr">
        <is>
          <t>门派统计</t>
        </is>
      </c>
      <c r="F9" s="2" t="inlineStr">
        <is>
          <t>胜率分布</t>
        </is>
      </c>
      <c r="G9" s="2" t="inlineStr">
        <is>
          <t>⚠️ 待测试</t>
        </is>
      </c>
      <c r="H9" s="2" t="inlineStr">
        <is>
          <t>超过70%需调整</t>
        </is>
      </c>
    </row>
    <row r="10">
      <c r="A10" s="2" t="inlineStr">
        <is>
          <t>M09</t>
        </is>
      </c>
      <c r="B10" s="2" t="inlineStr">
        <is>
          <t>卡牌使用率(最低)</t>
        </is>
      </c>
      <c r="C10" s="2" t="inlineStr">
        <is>
          <t>&gt;1%</t>
        </is>
      </c>
      <c r="D10" s="3" t="inlineStr">
        <is>
          <t>PLACEHOLDER</t>
        </is>
      </c>
      <c r="E10" s="2" t="inlineStr">
        <is>
          <t>全卡选取统计</t>
        </is>
      </c>
      <c r="F10" s="2" t="inlineStr">
        <is>
          <t>选取率排名</t>
        </is>
      </c>
      <c r="G10" s="2" t="inlineStr">
        <is>
          <t>⚠️ 待测试</t>
        </is>
      </c>
      <c r="H10" s="2" t="inlineStr">
        <is>
          <t>&lt;1%=设计失败的死卡</t>
        </is>
      </c>
    </row>
    <row r="11">
      <c r="A11" s="2" t="inlineStr">
        <is>
          <t>M10</t>
        </is>
      </c>
      <c r="B11" s="2" t="inlineStr">
        <is>
          <t>卡牌使用率(最高)</t>
        </is>
      </c>
      <c r="C11" s="2" t="inlineStr">
        <is>
          <t>&lt;85%</t>
        </is>
      </c>
      <c r="D11" s="3" t="inlineStr">
        <is>
          <t>PLACEHOLDER</t>
        </is>
      </c>
      <c r="E11" s="2" t="inlineStr">
        <is>
          <t>全卡选取统计</t>
        </is>
      </c>
      <c r="F11" s="2" t="inlineStr">
        <is>
          <t>选取率排名</t>
        </is>
      </c>
      <c r="G11" s="2" t="inlineStr">
        <is>
          <t>⚠️ 待测试</t>
        </is>
      </c>
      <c r="H11" s="2" t="inlineStr">
        <is>
          <t>&gt;85%=过强必选卡</t>
        </is>
      </c>
    </row>
    <row r="12">
      <c r="A12" s="2" t="inlineStr">
        <is>
          <t>M11</t>
        </is>
      </c>
      <c r="B12" s="2" t="inlineStr">
        <is>
          <t>道基树解锁速度(主要节点)</t>
        </is>
      </c>
      <c r="C12" s="2" t="inlineStr">
        <is>
          <t>40-60次Run</t>
        </is>
      </c>
      <c r="D12" s="3" t="inlineStr">
        <is>
          <t>PLACEHOLDER</t>
        </is>
      </c>
      <c r="E12" s="2" t="inlineStr">
        <is>
          <t>活跃玩家进度</t>
        </is>
      </c>
      <c r="F12" s="2" t="inlineStr">
        <is>
          <t>道基树进度统计</t>
        </is>
      </c>
      <c r="G12" s="2" t="inlineStr">
        <is>
          <t>⚠️ 待测试</t>
        </is>
      </c>
      <c r="H12" s="2" t="inlineStr">
        <is>
          <t>&gt;100次太肝</t>
        </is>
      </c>
    </row>
    <row r="13">
      <c r="A13" s="2" t="inlineStr">
        <is>
          <t>M12</t>
        </is>
      </c>
      <c r="B13" s="2" t="inlineStr">
        <is>
          <t>首日留存率</t>
        </is>
      </c>
      <c r="C13" s="2" t="inlineStr">
        <is>
          <t>&gt;60%</t>
        </is>
      </c>
      <c r="D13" s="3" t="inlineStr">
        <is>
          <t>PLACEHOLDER</t>
        </is>
      </c>
      <c r="E13" s="2" t="inlineStr">
        <is>
          <t>Steam数据</t>
        </is>
      </c>
      <c r="F13" s="2" t="inlineStr">
        <is>
          <t>次日登录统计</t>
        </is>
      </c>
      <c r="G13" s="2" t="inlineStr">
        <is>
          <t>⚠️ 待测试</t>
        </is>
      </c>
      <c r="H13" s="2" t="inlineStr">
        <is>
          <t>发布后追踪</t>
        </is>
      </c>
    </row>
    <row r="14">
      <c r="A14" s="2" t="inlineStr">
        <is>
          <t>M13</t>
        </is>
      </c>
      <c r="B14" s="2" t="inlineStr">
        <is>
          <t>七日留存率</t>
        </is>
      </c>
      <c r="C14" s="2" t="inlineStr">
        <is>
          <t>&gt;30%</t>
        </is>
      </c>
      <c r="D14" s="3" t="inlineStr">
        <is>
          <t>PLACEHOLDER</t>
        </is>
      </c>
      <c r="E14" s="2" t="inlineStr">
        <is>
          <t>Steam数据</t>
        </is>
      </c>
      <c r="F14" s="2" t="inlineStr">
        <is>
          <t>7日登录统计</t>
        </is>
      </c>
      <c r="G14" s="2" t="inlineStr">
        <is>
          <t>⚠️ 待测试</t>
        </is>
      </c>
      <c r="H14" s="2" t="inlineStr">
        <is>
          <t>发布后追踪</t>
        </is>
      </c>
    </row>
    <row r="15">
      <c r="A15" s="2" t="inlineStr">
        <is>
          <t>M14</t>
        </is>
      </c>
      <c r="B15" s="2" t="inlineStr">
        <is>
          <t>道心10通关率</t>
        </is>
      </c>
      <c r="C15" s="2" t="inlineStr">
        <is>
          <t>5-15%</t>
        </is>
      </c>
      <c r="D15" s="3" t="inlineStr">
        <is>
          <t>PLACEHOLDER</t>
        </is>
      </c>
      <c r="E15" s="2" t="inlineStr">
        <is>
          <t>高难度玩家</t>
        </is>
      </c>
      <c r="F15" s="2" t="inlineStr">
        <is>
          <t>道心统计</t>
        </is>
      </c>
      <c r="G15" s="2" t="inlineStr">
        <is>
          <t>⚠️ 待测试</t>
        </is>
      </c>
      <c r="H15" s="2" t="inlineStr">
        <is>
          <t>硬核成就指标</t>
        </is>
      </c>
    </row>
    <row r="16">
      <c r="A16" s="2" t="inlineStr">
        <is>
          <t>M15</t>
        </is>
      </c>
      <c r="B16" s="2" t="inlineStr">
        <is>
          <t>无构筑胜率&gt;70%</t>
        </is>
      </c>
      <c r="C16" s="2" t="inlineStr">
        <is>
          <t>0个</t>
        </is>
      </c>
      <c r="D16" s="3" t="inlineStr">
        <is>
          <t>PLACEHOLDER</t>
        </is>
      </c>
      <c r="E16" s="2" t="inlineStr">
        <is>
          <t>组合胜率分析</t>
        </is>
      </c>
      <c r="F16" s="2" t="inlineStr">
        <is>
          <t>构筑收敛检测</t>
        </is>
      </c>
      <c r="G16" s="2" t="inlineStr">
        <is>
          <t>⚠️ 待测试</t>
        </is>
      </c>
      <c r="H16" s="2" t="inlineStr">
        <is>
          <t>任何构筑&gt;85%=平衡崩溃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</cols>
  <sheetData>
    <row r="1">
      <c r="A1" s="1" t="inlineStr">
        <is>
          <t>境界</t>
        </is>
      </c>
      <c r="B1" s="1" t="inlineStr">
        <is>
          <t>所在层</t>
        </is>
      </c>
      <c r="C1" s="1" t="inlineStr">
        <is>
          <t>灵力上限</t>
        </is>
      </c>
      <c r="D1" s="1" t="inlineStr">
        <is>
          <t>手牌上限</t>
        </is>
      </c>
      <c r="E1" s="1" t="inlineStr">
        <is>
          <t>牌库上限</t>
        </is>
      </c>
      <c r="F1" s="1" t="inlineStr">
        <is>
          <t>解锁稀有度</t>
        </is>
      </c>
      <c r="G1" s="1" t="inlineStr">
        <is>
          <t>额外能力</t>
        </is>
      </c>
      <c r="H1" s="1" t="inlineStr">
        <is>
          <t>敌人HP倍数</t>
        </is>
      </c>
      <c r="I1" s="1" t="inlineStr">
        <is>
          <t>敌人伤害倍数</t>
        </is>
      </c>
    </row>
    <row r="2">
      <c r="A2" s="2" t="inlineStr">
        <is>
          <t>炼气期</t>
        </is>
      </c>
      <c r="B2" s="2" t="n">
        <v>1</v>
      </c>
      <c r="C2" s="2" t="n">
        <v>3</v>
      </c>
      <c r="D2" s="2" t="n">
        <v>5</v>
      </c>
      <c r="E2" s="2" t="n">
        <v>15</v>
      </c>
      <c r="F2" s="2" t="inlineStr">
        <is>
          <t>凡品</t>
        </is>
      </c>
      <c r="G2" s="2" t="inlineStr">
        <is>
          <t>无</t>
        </is>
      </c>
      <c r="H2" s="2" t="n">
        <v>1</v>
      </c>
      <c r="I2" s="2" t="n">
        <v>1</v>
      </c>
    </row>
    <row r="3">
      <c r="A3" s="2" t="inlineStr">
        <is>
          <t>筑基期</t>
        </is>
      </c>
      <c r="B3" s="2" t="n">
        <v>2</v>
      </c>
      <c r="C3" s="2" t="n">
        <v>4</v>
      </c>
      <c r="D3" s="2" t="n">
        <v>6</v>
      </c>
      <c r="E3" s="2" t="n">
        <v>17</v>
      </c>
      <c r="F3" s="2" t="inlineStr">
        <is>
          <t>灵品</t>
        </is>
      </c>
      <c r="G3" s="2" t="inlineStr">
        <is>
          <t>解锁灵品卡池</t>
        </is>
      </c>
      <c r="H3" s="2" t="n">
        <v>1.7</v>
      </c>
      <c r="I3" s="2" t="n">
        <v>1.6</v>
      </c>
    </row>
    <row r="4">
      <c r="A4" s="2" t="inlineStr">
        <is>
          <t>金丹期</t>
        </is>
      </c>
      <c r="B4" s="2" t="n">
        <v>3</v>
      </c>
      <c r="C4" s="2" t="n">
        <v>5</v>
      </c>
      <c r="D4" s="2" t="n">
        <v>7</v>
      </c>
      <c r="E4" s="2" t="n">
        <v>19</v>
      </c>
      <c r="F4" s="2" t="inlineStr">
        <is>
          <t>仙品</t>
        </is>
      </c>
      <c r="G4" s="2" t="inlineStr">
        <is>
          <t>金丹被动(3选1)</t>
        </is>
      </c>
      <c r="H4" s="2" t="n">
        <v>2.5</v>
      </c>
      <c r="I4" s="2" t="n">
        <v>2.2</v>
      </c>
    </row>
    <row r="5">
      <c r="A5" s="2" t="inlineStr">
        <is>
          <t>元婴期</t>
        </is>
      </c>
      <c r="B5" s="2" t="n">
        <v>4</v>
      </c>
      <c r="C5" s="2" t="n">
        <v>6</v>
      </c>
      <c r="D5" s="2" t="n">
        <v>8</v>
      </c>
      <c r="E5" s="2" t="n">
        <v>21</v>
      </c>
      <c r="F5" s="2" t="inlineStr">
        <is>
          <t>圣品</t>
        </is>
      </c>
      <c r="G5" s="2" t="inlineStr">
        <is>
          <t>元婴出窍(战斗复活1次)</t>
        </is>
      </c>
      <c r="H5" s="2" t="n">
        <v>3.5</v>
      </c>
      <c r="I5" s="2" t="n">
        <v>3</v>
      </c>
    </row>
    <row r="6">
      <c r="A6" s="2" t="inlineStr">
        <is>
          <t>化神期</t>
        </is>
      </c>
      <c r="B6" s="2" t="n">
        <v>5</v>
      </c>
      <c r="C6" s="2" t="n">
        <v>7</v>
      </c>
      <c r="D6" s="2" t="n">
        <v>9</v>
      </c>
      <c r="E6" s="2" t="n">
        <v>23</v>
      </c>
      <c r="F6" s="2" t="inlineStr">
        <is>
          <t>道品</t>
        </is>
      </c>
      <c r="G6" s="2" t="inlineStr">
        <is>
          <t>神魂强化(全属性+10%)</t>
        </is>
      </c>
      <c r="H6" s="2" t="n">
        <v>4.8</v>
      </c>
      <c r="I6" s="2" t="n">
        <v>4</v>
      </c>
    </row>
    <row r="7">
      <c r="A7" s="2" t="inlineStr">
        <is>
          <t>渡劫飞升</t>
        </is>
      </c>
      <c r="B7" s="2" t="inlineStr">
        <is>
          <t>最终</t>
        </is>
      </c>
      <c r="C7" s="2" t="n">
        <v>7</v>
      </c>
      <c r="D7" s="2" t="n">
        <v>9</v>
      </c>
      <c r="E7" s="2" t="n">
        <v>23</v>
      </c>
      <c r="F7" s="2" t="inlineStr">
        <is>
          <t>全稀有度</t>
        </is>
      </c>
      <c r="G7" s="2" t="inlineStr">
        <is>
          <t>飞升通关</t>
        </is>
      </c>
      <c r="H7" s="2" t="inlineStr">
        <is>
          <t>Boss专属</t>
        </is>
      </c>
      <c r="I7" s="2" t="inlineStr">
        <is>
          <t>Boss专属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2026-06-18T15:17:48Z</dcterms:created>
  <dcterms:modified xmlns:dcterms="http://purl.org/dc/terms/" xmlns:xsi="http://www.w3.org/2001/XMLSchema-instance" xsi:type="dcterms:W3CDTF">2026-06-18T15:35:00Z</dcterms:modified>
</cp:coreProperties>
</file>